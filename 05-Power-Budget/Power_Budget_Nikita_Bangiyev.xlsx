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Budget" sheetId="1" state="visible" r:id="rId1"/>
  </sheets>
  <definedNames>
    <definedName name="_xlnm.Print_Area" localSheetId="0">'Power Budget'!$A$1:$I$105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000000"/>
      <sz val="11"/>
    </font>
    <font>
      <name val="Arial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00E7E9EC"/>
      </patternFill>
    </fill>
  </fills>
  <borders count="3">
    <border>
      <left/>
      <right/>
      <top/>
      <bottom/>
      <diagonal/>
    </border>
    <border>
      <bottom style="medium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right" vertical="center" indent="1"/>
    </xf>
    <xf numFmtId="0" fontId="3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 indent="1"/>
    </xf>
    <xf numFmtId="0" fontId="1" fillId="2" borderId="2" applyAlignment="1" pivotButton="0" quotePrefix="0" xfId="0">
      <alignment horizontal="left" vertical="center" wrapText="1" indent="1"/>
    </xf>
    <xf numFmtId="0" fontId="1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 indent="1"/>
    </xf>
    <xf numFmtId="0" fontId="3" fillId="0" borderId="2" applyAlignment="1" pivotButton="0" quotePrefix="0" xfId="0">
      <alignment horizontal="center" vertical="center"/>
    </xf>
    <xf numFmtId="2" fontId="3" fillId="0" borderId="2" applyAlignment="1" pivotButton="0" quotePrefix="0" xfId="0">
      <alignment horizontal="right" vertical="center" indent="1"/>
    </xf>
    <xf numFmtId="1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right" vertical="center" indent="1"/>
    </xf>
    <xf numFmtId="165" fontId="3" fillId="0" borderId="2" applyAlignment="1" pivotButton="0" quotePrefix="0" xfId="0">
      <alignment horizontal="right" vertical="center" indent="1"/>
    </xf>
    <xf numFmtId="0" fontId="1" fillId="0" borderId="2" applyAlignment="1" pivotButton="0" quotePrefix="0" xfId="0">
      <alignment horizontal="right" vertical="center" indent="1"/>
    </xf>
    <xf numFmtId="0" fontId="0" fillId="0" borderId="2" pivotButton="0" quotePrefix="0" xfId="0"/>
    <xf numFmtId="164" fontId="1" fillId="0" borderId="2" applyAlignment="1" pivotButton="0" quotePrefix="0" xfId="0">
      <alignment horizontal="right" vertical="center" indent="1"/>
    </xf>
    <xf numFmtId="165" fontId="1" fillId="0" borderId="2" applyAlignment="1" pivotButton="0" quotePrefix="0" xfId="0">
      <alignment horizontal="right" vertical="center" indent="1"/>
    </xf>
    <xf numFmtId="0" fontId="3" fillId="0" borderId="2" applyAlignment="1" pivotButton="0" quotePrefix="0" xfId="0">
      <alignment horizontal="right" vertical="center" indent="1"/>
    </xf>
    <xf numFmtId="9" fontId="3" fillId="0" borderId="2" applyAlignment="1" pivotButton="0" quotePrefix="0" xfId="0">
      <alignment horizontal="right" vertical="center" indent="1"/>
    </xf>
    <xf numFmtId="0" fontId="1" fillId="2" borderId="2" applyAlignment="1" pivotButton="0" quotePrefix="0" xfId="0">
      <alignment horizontal="right" vertical="center" indent="1"/>
    </xf>
    <xf numFmtId="164" fontId="1" fillId="2" borderId="2" applyAlignment="1" pivotButton="0" quotePrefix="0" xfId="0">
      <alignment horizontal="right" vertical="center" indent="1"/>
    </xf>
    <xf numFmtId="165" fontId="1" fillId="2" borderId="2" applyAlignment="1" pivotButton="0" quotePrefix="0" xfId="0">
      <alignment horizontal="right" vertical="center" indent="1"/>
    </xf>
    <xf numFmtId="0" fontId="0" fillId="2" borderId="2" pivotButton="0" quotePrefix="0" xfId="0"/>
    <xf numFmtId="0" fontId="3" fillId="2" borderId="2" applyAlignment="1" pivotButton="0" quotePrefix="0" xfId="0">
      <alignment horizontal="left" vertical="center" wrapText="1" indent="1"/>
    </xf>
    <xf numFmtId="0" fontId="1" fillId="2" borderId="2" applyAlignment="1" pivotButton="0" quotePrefix="0" xfId="0">
      <alignment horizontal="left" vertical="center" indent="1"/>
    </xf>
    <xf numFmtId="0" fontId="1" fillId="2" borderId="2" pivotButton="0" quotePrefix="0" xfId="0"/>
    <xf numFmtId="0" fontId="1" fillId="2" borderId="2" applyAlignment="1" pivotButton="0" quotePrefix="0" xfId="0">
      <alignment horizontal="center" vertical="center"/>
    </xf>
    <xf numFmtId="166" fontId="3" fillId="0" borderId="2" applyAlignment="1" pivotButton="0" quotePrefix="0" xfId="0">
      <alignment horizontal="right" vertical="center" indent="1"/>
    </xf>
    <xf numFmtId="166" fontId="1" fillId="2" borderId="2" applyAlignment="1" pivotButton="0" quotePrefix="0" xfId="0">
      <alignment horizontal="right" vertical="center" indent="1"/>
    </xf>
    <xf numFmtId="0" fontId="3" fillId="2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right" vertical="center" indent="1"/>
    </xf>
    <xf numFmtId="2" fontId="1" fillId="2" borderId="2" applyAlignment="1" pivotButton="0" quotePrefix="0" xfId="0">
      <alignment horizontal="right" vertical="center" indent="1"/>
    </xf>
    <xf numFmtId="1" fontId="3" fillId="0" borderId="2" applyAlignment="1" pivotButton="0" quotePrefix="0" xfId="0">
      <alignment horizontal="right" vertical="center" indent="1"/>
    </xf>
    <xf numFmtId="3" fontId="3" fillId="0" borderId="2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25" customWidth="1" min="2" max="2"/>
    <col width="7" customWidth="1" min="3" max="3"/>
    <col width="10" customWidth="1" min="4" max="4"/>
    <col width="6" customWidth="1" min="5" max="5"/>
    <col width="12" customWidth="1" min="6" max="6"/>
    <col width="11" customWidth="1" min="7" max="7"/>
    <col width="11" customWidth="1" min="8" max="8"/>
    <col width="52" customWidth="1" min="9" max="9"/>
  </cols>
  <sheetData>
    <row r="1">
      <c r="A1" s="1" t="inlineStr">
        <is>
          <t>Fill-A-Bot Main Control Board Power Budget</t>
        </is>
      </c>
    </row>
    <row r="2">
      <c r="A2" s="2" t="inlineStr">
        <is>
          <t>EGR 304 Embedded Systems Design Project I  |  Team 201</t>
        </is>
      </c>
    </row>
    <row r="3">
      <c r="A3" s="2" t="inlineStr">
        <is>
          <t>Prepared by: Nikita Bangiyev</t>
        </is>
      </c>
      <c r="I3" s="3" t="inlineStr">
        <is>
          <t>Date: Oct 30, 2026</t>
        </is>
      </c>
    </row>
    <row r="4">
      <c r="A4" s="4" t="inlineStr">
        <is>
          <t>Power path: 9 V wall adapter (Triad WSU090-2000) &gt; barrel jack &gt; T800mA fuse &gt; LM1086-5.0 &gt; +5 V rail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6">
      <c r="A6" s="6" t="inlineStr">
        <is>
          <t>1. Load Budget</t>
        </is>
      </c>
    </row>
    <row r="7" ht="27" customHeight="1">
      <c r="A7" s="7" t="inlineStr">
        <is>
          <t>Component</t>
        </is>
      </c>
      <c r="B7" s="7" t="inlineStr">
        <is>
          <t>Part No. / Ref Des</t>
        </is>
      </c>
      <c r="C7" s="8" t="inlineStr">
        <is>
          <t>Rail</t>
        </is>
      </c>
      <c r="D7" s="8" t="inlineStr">
        <is>
          <t>Voltage (V)</t>
        </is>
      </c>
      <c r="E7" s="8" t="inlineStr">
        <is>
          <t>Qty</t>
        </is>
      </c>
      <c r="F7" s="8" t="inlineStr">
        <is>
          <t>Max Current, each (mA)</t>
        </is>
      </c>
      <c r="G7" s="8" t="inlineStr">
        <is>
          <t>Total (mA)</t>
        </is>
      </c>
      <c r="H7" s="8" t="inlineStr">
        <is>
          <t>Power (mW)</t>
        </is>
      </c>
      <c r="I7" s="7" t="inlineStr">
        <is>
          <t>Basis</t>
        </is>
      </c>
    </row>
    <row r="8" ht="30" customHeight="1">
      <c r="A8" s="9" t="inlineStr">
        <is>
          <t>PIC18F57Q43 Curiosity Nano (MCU + board circuits)</t>
        </is>
      </c>
      <c r="B8" s="9" t="inlineStr">
        <is>
          <t>DM164150</t>
        </is>
      </c>
      <c r="C8" s="10" t="inlineStr">
        <is>
          <t>+5V</t>
        </is>
      </c>
      <c r="D8" s="11">
        <f>$D$46</f>
        <v/>
      </c>
      <c r="E8" s="12" t="n">
        <v>1</v>
      </c>
      <c r="F8" s="13">
        <f>ROUNDUP(($D$72/$D$47+$D$73)/10,0)*10</f>
        <v/>
      </c>
      <c r="G8" s="13">
        <f>ROUNDUP(E8*F8,3)</f>
        <v/>
      </c>
      <c r="H8" s="14">
        <f>G8*D8</f>
        <v/>
      </c>
      <c r="I8" s="9" t="inlineStr">
        <is>
          <t>Max not specified at 5 V: 800 mW / 4.9 V = 163.3 mA, + 5.5 mA board LED and level shifters, rounded up to 170 mA [1][2]</t>
        </is>
      </c>
    </row>
    <row r="9" ht="30" customHeight="1">
      <c r="A9" s="9" t="inlineStr">
        <is>
          <t>Dual op amp, both channels + feedback load</t>
        </is>
      </c>
      <c r="B9" s="9" t="inlineStr">
        <is>
          <t>MCP6002-I/P (U3)</t>
        </is>
      </c>
      <c r="C9" s="10" t="inlineStr">
        <is>
          <t>+5V</t>
        </is>
      </c>
      <c r="D9" s="11">
        <f>$D$46</f>
        <v/>
      </c>
      <c r="E9" s="12" t="n">
        <v>1</v>
      </c>
      <c r="F9" s="13">
        <f>ROUNDUP($D$75*$D$74+$D$48/($D$76*(1-$D$77))*1000,3)</f>
        <v/>
      </c>
      <c r="G9" s="13">
        <f>ROUNDUP(E9*F9,3)</f>
        <v/>
      </c>
      <c r="H9" s="14">
        <f>G9*D9</f>
        <v/>
      </c>
      <c r="I9" s="9" t="inlineStr">
        <is>
          <t>2 x 0.170 mA max + 5.1 V / 9.9 kΩ through feedback resistors [3]</t>
        </is>
      </c>
    </row>
    <row r="10" ht="30" customHeight="1">
      <c r="A10" s="9" t="inlineStr">
        <is>
          <t>16x2 LCD logic (ST7066U controller)</t>
        </is>
      </c>
      <c r="B10" s="9" t="inlineStr">
        <is>
          <t>NHD-0216K1Z-FL-YBW</t>
        </is>
      </c>
      <c r="C10" s="10" t="inlineStr">
        <is>
          <t>+5V</t>
        </is>
      </c>
      <c r="D10" s="11">
        <f>$D$46</f>
        <v/>
      </c>
      <c r="E10" s="12" t="n">
        <v>1</v>
      </c>
      <c r="F10" s="13" t="n">
        <v>3</v>
      </c>
      <c r="G10" s="13">
        <f>ROUNDUP(E10*F10,3)</f>
        <v/>
      </c>
      <c r="H10" s="14">
        <f>G10*D10</f>
        <v/>
      </c>
      <c r="I10" s="9" t="inlineStr">
        <is>
          <t>IDD 3.0 mA max at 5.0 V [4]</t>
        </is>
      </c>
    </row>
    <row r="11" ht="30" customHeight="1">
      <c r="A11" s="9" t="inlineStr">
        <is>
          <t>16x2 LCD backlight, full brightness</t>
        </is>
      </c>
      <c r="B11" s="9" t="inlineStr">
        <is>
          <t>NHD-0216K1Z-FL-YBW</t>
        </is>
      </c>
      <c r="C11" s="10" t="inlineStr">
        <is>
          <t>+5V</t>
        </is>
      </c>
      <c r="D11" s="11">
        <f>$D$46</f>
        <v/>
      </c>
      <c r="E11" s="12" t="n">
        <v>1</v>
      </c>
      <c r="F11" s="13" t="n">
        <v>156</v>
      </c>
      <c r="G11" s="13">
        <f>ROUNDUP(E11*F11,3)</f>
        <v/>
      </c>
      <c r="H11" s="14">
        <f>G11*D11</f>
        <v/>
      </c>
      <c r="I11" s="9" t="inlineStr">
        <is>
          <t>Backlight 156 mA max at 5.0 V [4]</t>
        </is>
      </c>
    </row>
    <row r="12" ht="30" customHeight="1">
      <c r="A12" s="9" t="inlineStr">
        <is>
          <t>LDR cup-sensor divider</t>
        </is>
      </c>
      <c r="B12" s="9" t="inlineStr">
        <is>
          <t>PDV-P8103 + 10 kΩ 1%</t>
        </is>
      </c>
      <c r="C12" s="10" t="inlineStr">
        <is>
          <t>+5V</t>
        </is>
      </c>
      <c r="D12" s="11">
        <f>$D$46</f>
        <v/>
      </c>
      <c r="E12" s="12" t="n">
        <v>1</v>
      </c>
      <c r="F12" s="13">
        <f>ROUNDUP($D$48/($D$76*(1-$D$77))*1000,3)</f>
        <v/>
      </c>
      <c r="G12" s="13">
        <f>ROUNDUP(E12*F12,3)</f>
        <v/>
      </c>
      <c r="H12" s="14">
        <f>G12*D12</f>
        <v/>
      </c>
      <c r="I12" s="9" t="inlineStr">
        <is>
          <t>5.1 V / 9.9 kΩ, LDR at 0 Ω worst case [5]</t>
        </is>
      </c>
    </row>
    <row r="13" ht="30" customHeight="1">
      <c r="A13" s="9" t="inlineStr">
        <is>
          <t>2.5 V reference divider for U3B</t>
        </is>
      </c>
      <c r="B13" s="9" t="inlineStr">
        <is>
          <t>2 x 10 kΩ 1%</t>
        </is>
      </c>
      <c r="C13" s="10" t="inlineStr">
        <is>
          <t>+5V</t>
        </is>
      </c>
      <c r="D13" s="11">
        <f>$D$46</f>
        <v/>
      </c>
      <c r="E13" s="12" t="n">
        <v>1</v>
      </c>
      <c r="F13" s="13">
        <f>ROUNDUP($D$48/(2*$D$76*(1-$D$77))*1000,3)</f>
        <v/>
      </c>
      <c r="G13" s="13">
        <f>ROUNDUP(E13*F13,3)</f>
        <v/>
      </c>
      <c r="H13" s="14">
        <f>G13*D13</f>
        <v/>
      </c>
      <c r="I13" s="9" t="inlineStr">
        <is>
          <t>5.1 V / 19.8 kΩ</t>
        </is>
      </c>
    </row>
    <row r="14" ht="30" customHeight="1">
      <c r="A14" s="9" t="inlineStr">
        <is>
          <t>100 kΩ pull-downs driven high (LCD E + 4 ribbon outputs)</t>
        </is>
      </c>
      <c r="B14" s="9" t="inlineStr">
        <is>
          <t>100 kΩ (R24 + 4 on teammates' boards)</t>
        </is>
      </c>
      <c r="C14" s="10" t="inlineStr">
        <is>
          <t>+5V</t>
        </is>
      </c>
      <c r="D14" s="11">
        <f>$D$46</f>
        <v/>
      </c>
      <c r="E14" s="12" t="n">
        <v>5</v>
      </c>
      <c r="F14" s="13">
        <f>ROUNDUP($D$48/($D$85*(1-$D$77))*1000,3)</f>
        <v/>
      </c>
      <c r="G14" s="13">
        <f>ROUNDUP(E14*F14,3)</f>
        <v/>
      </c>
      <c r="H14" s="14">
        <f>G14*D14</f>
        <v/>
      </c>
      <c r="I14" s="9" t="inlineStr">
        <is>
          <t>5.1 V / 99 kΩ each; 4 pull-downs are on Clay's and Troy's boards</t>
        </is>
      </c>
    </row>
    <row r="15" ht="30" customHeight="1">
      <c r="A15" s="9" t="inlineStr">
        <is>
          <t>LCD contrast trimmer</t>
        </is>
      </c>
      <c r="B15" s="9" t="inlineStr">
        <is>
          <t>10 kΩ trimmer</t>
        </is>
      </c>
      <c r="C15" s="10" t="inlineStr">
        <is>
          <t>+5V</t>
        </is>
      </c>
      <c r="D15" s="11">
        <f>$D$46</f>
        <v/>
      </c>
      <c r="E15" s="12" t="n">
        <v>1</v>
      </c>
      <c r="F15" s="13">
        <f>ROUNDUP($D$48/($D$78*(1-$D$79))*1000,3)</f>
        <v/>
      </c>
      <c r="G15" s="13">
        <f>ROUNDUP(E15*F15,3)</f>
        <v/>
      </c>
      <c r="H15" s="14">
        <f>G15*D15</f>
        <v/>
      </c>
      <c r="I15" s="9" t="inlineStr">
        <is>
          <t>5.1 V / 8 kΩ (-20% tolerance)</t>
        </is>
      </c>
    </row>
    <row r="16" ht="30" customHeight="1">
      <c r="A16" s="9" t="inlineStr">
        <is>
          <t>Status LEDs (Dispensing, Done, Fault)</t>
        </is>
      </c>
      <c r="B16" s="9" t="inlineStr">
        <is>
          <t>LED + 2.2 kΩ</t>
        </is>
      </c>
      <c r="C16" s="10" t="inlineStr">
        <is>
          <t>+5V</t>
        </is>
      </c>
      <c r="D16" s="11">
        <f>$D$46</f>
        <v/>
      </c>
      <c r="E16" s="12">
        <f>$D$81</f>
        <v/>
      </c>
      <c r="F16" s="13">
        <f>ROUNDUP($D$48/($D$80*(1-$D$77))*1000,3)</f>
        <v/>
      </c>
      <c r="G16" s="13">
        <f>ROUNDUP(E16*F16,3)</f>
        <v/>
      </c>
      <c r="H16" s="14">
        <f>G16*D16</f>
        <v/>
      </c>
      <c r="I16" s="9" t="inlineStr">
        <is>
          <t>5.1 V / 2.178 kΩ each, zero LED drop (actual ≈ 1.4 mA each)</t>
        </is>
      </c>
    </row>
    <row r="17" ht="30" customHeight="1">
      <c r="A17" s="9" t="inlineStr">
        <is>
          <t>Button pull-ups (UP, DOWN, START, STOP, SW5), all pressed</t>
        </is>
      </c>
      <c r="B17" s="9" t="inlineStr">
        <is>
          <t>10 kΩ</t>
        </is>
      </c>
      <c r="C17" s="10" t="inlineStr">
        <is>
          <t>+5V</t>
        </is>
      </c>
      <c r="D17" s="11">
        <f>$D$46</f>
        <v/>
      </c>
      <c r="E17" s="12">
        <f>$D$82</f>
        <v/>
      </c>
      <c r="F17" s="13">
        <f>$D$48/($D$76*(1-$D$77))*1000</f>
        <v/>
      </c>
      <c r="G17" s="13">
        <f>ROUNDUP(E17*F17,3)</f>
        <v/>
      </c>
      <c r="H17" s="14">
        <f>G17*D17</f>
        <v/>
      </c>
      <c r="I17" s="9" t="inlineStr">
        <is>
          <t>5.1 V / 9.9 kΩ each; group total rounded up</t>
        </is>
      </c>
    </row>
    <row r="18" ht="30" customHeight="1">
      <c r="A18" s="9" t="inlineStr">
        <is>
          <t>Debug LED and 5 V power LED</t>
        </is>
      </c>
      <c r="B18" s="9" t="inlineStr">
        <is>
          <t>LED + 2.2 kΩ (D1, D5)</t>
        </is>
      </c>
      <c r="C18" s="10" t="inlineStr">
        <is>
          <t>+5V</t>
        </is>
      </c>
      <c r="D18" s="11">
        <f>$D$46</f>
        <v/>
      </c>
      <c r="E18" s="12" t="n">
        <v>2</v>
      </c>
      <c r="F18" s="13">
        <f>ROUNDUP($D$48/($D$80*(1-$D$77))*1000,3)</f>
        <v/>
      </c>
      <c r="G18" s="13">
        <f>ROUNDUP(E18*F18,3)</f>
        <v/>
      </c>
      <c r="H18" s="14">
        <f>G18*D18</f>
        <v/>
      </c>
      <c r="I18" s="9" t="inlineStr">
        <is>
          <t>5.1 V / 2.178 kΩ each, zero LED drop</t>
        </is>
      </c>
    </row>
    <row r="19" ht="20" customHeight="1">
      <c r="A19" s="15" t="inlineStr">
        <is>
          <t>+5V rail subtotal, before margin</t>
        </is>
      </c>
      <c r="B19" s="16" t="n"/>
      <c r="C19" s="16" t="n"/>
      <c r="D19" s="16" t="n"/>
      <c r="E19" s="16" t="n"/>
      <c r="F19" s="16" t="n"/>
      <c r="G19" s="17">
        <f>SUM(G8:G18)</f>
        <v/>
      </c>
      <c r="H19" s="18">
        <f>SUM(H8:H18)</f>
        <v/>
      </c>
      <c r="I19" s="16" t="n"/>
    </row>
    <row r="20" ht="20" customHeight="1">
      <c r="A20" s="19" t="inlineStr">
        <is>
          <t>Safety margin (class requirement, applied once)</t>
        </is>
      </c>
      <c r="B20" s="16" t="n"/>
      <c r="C20" s="16" t="n"/>
      <c r="D20" s="16" t="n"/>
      <c r="E20" s="16" t="n"/>
      <c r="F20" s="16" t="n"/>
      <c r="G20" s="20" t="n">
        <v>0.25</v>
      </c>
      <c r="H20" s="16" t="n"/>
      <c r="I20" s="16" t="n"/>
    </row>
    <row r="21" ht="20" customHeight="1">
      <c r="A21" s="21" t="inlineStr">
        <is>
          <t>+5V rail total, including margin (LM1086 output current)</t>
        </is>
      </c>
      <c r="B21" s="16" t="n"/>
      <c r="C21" s="16" t="n"/>
      <c r="D21" s="16" t="n"/>
      <c r="E21" s="16" t="n"/>
      <c r="F21" s="16" t="n"/>
      <c r="G21" s="22">
        <f>ROUNDUP($G$19*(1+$G$20),3)</f>
        <v/>
      </c>
      <c r="H21" s="23">
        <f>G21*$D$46</f>
        <v/>
      </c>
      <c r="I21" s="24" t="n"/>
    </row>
    <row r="22" ht="30" customHeight="1">
      <c r="A22" s="9" t="inlineStr">
        <is>
          <t>LM1086 quiescent (ground) current, max</t>
        </is>
      </c>
      <c r="B22" s="9" t="inlineStr">
        <is>
          <t>LM1086IT-5.0 (TO-220)</t>
        </is>
      </c>
      <c r="C22" s="10" t="inlineStr">
        <is>
          <t>+9V</t>
        </is>
      </c>
      <c r="D22" s="11">
        <f>$D$42</f>
        <v/>
      </c>
      <c r="E22" s="12" t="n">
        <v>1</v>
      </c>
      <c r="F22" s="13" t="n">
        <v>10</v>
      </c>
      <c r="G22" s="13">
        <f>ROUNDUP(E22*F22,3)</f>
        <v/>
      </c>
      <c r="H22" s="14">
        <f>G22*D22</f>
        <v/>
      </c>
      <c r="I22" s="9" t="inlineStr">
        <is>
          <t>10 mA max for VIN ≤ 20 V (5 mA typ); added after the margin [6]</t>
        </is>
      </c>
    </row>
    <row r="23" ht="30" customHeight="1">
      <c r="A23" s="9" t="inlineStr">
        <is>
          <t>9 V power LED, on fused 9 V input</t>
        </is>
      </c>
      <c r="B23" s="9" t="inlineStr">
        <is>
          <t>LED + 4.7 kΩ (D6, R25)</t>
        </is>
      </c>
      <c r="C23" s="10" t="inlineStr">
        <is>
          <t>+9V</t>
        </is>
      </c>
      <c r="D23" s="11">
        <f>$D$42</f>
        <v/>
      </c>
      <c r="E23" s="12">
        <f>$D$84</f>
        <v/>
      </c>
      <c r="F23" s="13">
        <f>ROUNDUP($D$44/($D$83*(1-$D$77))*1000,3)</f>
        <v/>
      </c>
      <c r="G23" s="13">
        <f>ROUNDUP(E23*F23,3)</f>
        <v/>
      </c>
      <c r="H23" s="14">
        <f>G23*D23</f>
        <v/>
      </c>
      <c r="I23" s="9" t="inlineStr">
        <is>
          <t>9.45 V / 4.653 kΩ, zero LED drop; before the regulator</t>
        </is>
      </c>
    </row>
    <row r="24">
      <c r="A24" s="21" t="inlineStr">
        <is>
          <t>Total adapter current (+5V incl. margin + LM1086 Iq + 9 V LED)</t>
        </is>
      </c>
      <c r="B24" s="16" t="n"/>
      <c r="C24" s="16" t="n"/>
      <c r="D24" s="16" t="n"/>
      <c r="E24" s="16" t="n"/>
      <c r="F24" s="16" t="n"/>
      <c r="G24" s="22">
        <f>$G$21+$G$22+$G$23</f>
        <v/>
      </c>
      <c r="H24" s="23">
        <f>$G$24*$D$42</f>
        <v/>
      </c>
      <c r="I24" s="25" t="inlineStr">
        <is>
          <t>Power column = total input power from the 9 V adapter</t>
        </is>
      </c>
    </row>
    <row r="26">
      <c r="A26" s="6" t="inlineStr">
        <is>
          <t>2. Regulator and Adapter Capacity</t>
        </is>
      </c>
    </row>
    <row r="27">
      <c r="A27" s="26" t="inlineStr">
        <is>
          <t>Parameter</t>
        </is>
      </c>
      <c r="B27" s="27" t="n"/>
      <c r="C27" s="27" t="n"/>
      <c r="D27" s="28" t="inlineStr">
        <is>
          <t>Value</t>
        </is>
      </c>
      <c r="E27" s="28" t="inlineStr">
        <is>
          <t>Unit</t>
        </is>
      </c>
      <c r="F27" s="26" t="inlineStr">
        <is>
          <t>Notes / Source</t>
        </is>
      </c>
      <c r="G27" s="27" t="n"/>
      <c r="H27" s="27" t="n"/>
      <c r="I27" s="27" t="n"/>
    </row>
    <row r="28" ht="17" customHeight="1">
      <c r="A28" s="9" t="inlineStr">
        <is>
          <t>LM1086-5.0 rated output current</t>
        </is>
      </c>
      <c r="B28" s="16" t="n"/>
      <c r="C28" s="16" t="n"/>
      <c r="D28" s="29" t="n">
        <v>1500</v>
      </c>
      <c r="E28" s="10" t="inlineStr">
        <is>
          <t>mA</t>
        </is>
      </c>
      <c r="F28" s="9" t="inlineStr">
        <is>
          <t>1.5 A output; current limit 1.5 A min [6]</t>
        </is>
      </c>
      <c r="G28" s="16" t="n"/>
      <c r="H28" s="16" t="n"/>
      <c r="I28" s="16" t="n"/>
    </row>
    <row r="29" ht="17" customHeight="1">
      <c r="A29" s="9" t="inlineStr">
        <is>
          <t>Required +5V current, including margin</t>
        </is>
      </c>
      <c r="B29" s="16" t="n"/>
      <c r="C29" s="16" t="n"/>
      <c r="D29" s="29">
        <f>$G$21</f>
        <v/>
      </c>
      <c r="E29" s="10" t="inlineStr">
        <is>
          <t>mA</t>
        </is>
      </c>
      <c r="F29" s="9" t="inlineStr"/>
      <c r="G29" s="16" t="n"/>
      <c r="H29" s="16" t="n"/>
      <c r="I29" s="16" t="n"/>
    </row>
    <row r="30" ht="17" customHeight="1">
      <c r="A30" s="7" t="inlineStr">
        <is>
          <t>Electrical headroom on regulator</t>
        </is>
      </c>
      <c r="B30" s="24" t="n"/>
      <c r="C30" s="24" t="n"/>
      <c r="D30" s="30">
        <f>$D$28-$G$21</f>
        <v/>
      </c>
      <c r="E30" s="31" t="inlineStr">
        <is>
          <t>mA</t>
        </is>
      </c>
      <c r="F30" s="25" t="inlineStr"/>
      <c r="G30" s="24" t="n"/>
      <c r="H30" s="24" t="n"/>
      <c r="I30" s="24" t="n"/>
    </row>
    <row r="31" ht="17" customHeight="1">
      <c r="A31" s="9" t="inlineStr">
        <is>
          <t>Thermal current capability with heat sink (Section 4)</t>
        </is>
      </c>
      <c r="B31" s="16" t="n"/>
      <c r="C31" s="16" t="n"/>
      <c r="D31" s="29">
        <f>$D$66</f>
        <v/>
      </c>
      <c r="E31" s="10" t="inlineStr">
        <is>
          <t>mA</t>
        </is>
      </c>
      <c r="F31" s="9" t="inlineStr"/>
      <c r="G31" s="16" t="n"/>
      <c r="H31" s="16" t="n"/>
      <c r="I31" s="16" t="n"/>
    </row>
    <row r="32" ht="17" customHeight="1">
      <c r="A32" s="7" t="inlineStr">
        <is>
          <t>Headroom before thermal limit</t>
        </is>
      </c>
      <c r="B32" s="24" t="n"/>
      <c r="C32" s="24" t="n"/>
      <c r="D32" s="30">
        <f>$D$66-$G$21</f>
        <v/>
      </c>
      <c r="E32" s="31" t="inlineStr">
        <is>
          <t>mA</t>
        </is>
      </c>
      <c r="F32" s="25" t="inlineStr"/>
      <c r="G32" s="24" t="n"/>
      <c r="H32" s="24" t="n"/>
      <c r="I32" s="24" t="n"/>
    </row>
    <row r="33" ht="17" customHeight="1">
      <c r="A33" s="9" t="inlineStr">
        <is>
          <t>Adapter rated output current</t>
        </is>
      </c>
      <c r="B33" s="16" t="n"/>
      <c r="C33" s="16" t="n"/>
      <c r="D33" s="29" t="n">
        <v>2000</v>
      </c>
      <c r="E33" s="10" t="inlineStr">
        <is>
          <t>mA</t>
        </is>
      </c>
      <c r="F33" s="9" t="inlineStr">
        <is>
          <t>Triad WSU090-2000: 9 VDC, 2.0 A, 0 to 40 °C at full load [7]</t>
        </is>
      </c>
      <c r="G33" s="16" t="n"/>
      <c r="H33" s="16" t="n"/>
      <c r="I33" s="16" t="n"/>
    </row>
    <row r="34" ht="17" customHeight="1">
      <c r="A34" s="9" t="inlineStr">
        <is>
          <t>Adapter rating minus regulator rating (class template method)</t>
        </is>
      </c>
      <c r="B34" s="16" t="n"/>
      <c r="C34" s="16" t="n"/>
      <c r="D34" s="29">
        <f>$D$33-$D$28</f>
        <v/>
      </c>
      <c r="E34" s="10" t="inlineStr">
        <is>
          <t>mA</t>
        </is>
      </c>
      <c r="F34" s="9" t="inlineStr">
        <is>
          <t>Must not be negative</t>
        </is>
      </c>
      <c r="G34" s="16" t="n"/>
      <c r="H34" s="16" t="n"/>
      <c r="I34" s="16" t="n"/>
    </row>
    <row r="35" ht="17" customHeight="1">
      <c r="A35" s="7" t="inlineStr">
        <is>
          <t>Adapter headroom at actual load</t>
        </is>
      </c>
      <c r="B35" s="24" t="n"/>
      <c r="C35" s="24" t="n"/>
      <c r="D35" s="30">
        <f>$D$33-$G$24</f>
        <v/>
      </c>
      <c r="E35" s="31" t="inlineStr">
        <is>
          <t>mA</t>
        </is>
      </c>
      <c r="F35" s="25" t="inlineStr"/>
      <c r="G35" s="24" t="n"/>
      <c r="H35" s="24" t="n"/>
      <c r="I35" s="24" t="n"/>
    </row>
    <row r="36" ht="17" customHeight="1">
      <c r="A36" s="9" t="inlineStr">
        <is>
          <t>Adapter DC power used (at 9 V nominal)</t>
        </is>
      </c>
      <c r="B36" s="16" t="n"/>
      <c r="C36" s="16" t="n"/>
      <c r="D36" s="13">
        <f>$D$42*$G$24/1000</f>
        <v/>
      </c>
      <c r="E36" s="10" t="inlineStr">
        <is>
          <t>W</t>
        </is>
      </c>
      <c r="F36" s="9" t="inlineStr"/>
      <c r="G36" s="16" t="n"/>
      <c r="H36" s="16" t="n"/>
      <c r="I36" s="16" t="n"/>
    </row>
    <row r="37" ht="17" customHeight="1">
      <c r="A37" s="9" t="inlineStr">
        <is>
          <t>Major components only (MCU, op amp, LCD logic, backlight, LDR)</t>
        </is>
      </c>
      <c r="B37" s="16" t="n"/>
      <c r="C37" s="16" t="n"/>
      <c r="D37" s="29">
        <f>SUMIF(C8:C12,"+5V",G8:G12)</f>
        <v/>
      </c>
      <c r="E37" s="10" t="inlineStr">
        <is>
          <t>mA</t>
        </is>
      </c>
      <c r="F37" s="9" t="inlineStr">
        <is>
          <t>Class Section A subtotal, before margin</t>
        </is>
      </c>
      <c r="G37" s="16" t="n"/>
      <c r="H37" s="16" t="n"/>
      <c r="I37" s="16" t="n"/>
    </row>
    <row r="38" ht="17" customHeight="1">
      <c r="A38" s="9" t="inlineStr">
        <is>
          <t>Battery</t>
        </is>
      </c>
      <c r="B38" s="16" t="n"/>
      <c r="C38" s="16" t="n"/>
      <c r="D38" s="32" t="inlineStr">
        <is>
          <t>N/A</t>
        </is>
      </c>
      <c r="E38" s="10" t="inlineStr"/>
      <c r="F38" s="9" t="inlineStr">
        <is>
          <t>Wall adapter only; no battery is used, so no battery life is calculated</t>
        </is>
      </c>
      <c r="G38" s="16" t="n"/>
      <c r="H38" s="16" t="n"/>
      <c r="I38" s="16" t="n"/>
    </row>
    <row r="40">
      <c r="A40" s="6" t="inlineStr">
        <is>
          <t>3. Input Voltage and Dropout Check</t>
        </is>
      </c>
    </row>
    <row r="41">
      <c r="A41" s="26" t="inlineStr">
        <is>
          <t>Parameter</t>
        </is>
      </c>
      <c r="B41" s="27" t="n"/>
      <c r="C41" s="27" t="n"/>
      <c r="D41" s="28" t="inlineStr">
        <is>
          <t>Value</t>
        </is>
      </c>
      <c r="E41" s="28" t="inlineStr">
        <is>
          <t>Unit</t>
        </is>
      </c>
      <c r="F41" s="26" t="inlineStr">
        <is>
          <t>Notes / Source</t>
        </is>
      </c>
      <c r="G41" s="27" t="n"/>
      <c r="H41" s="27" t="n"/>
      <c r="I41" s="27" t="n"/>
    </row>
    <row r="42" ht="17" customHeight="1">
      <c r="A42" s="9" t="inlineStr">
        <is>
          <t>Adapter nominal output voltage</t>
        </is>
      </c>
      <c r="B42" s="16" t="n"/>
      <c r="C42" s="16" t="n"/>
      <c r="D42" s="11" t="n">
        <v>9</v>
      </c>
      <c r="E42" s="10" t="inlineStr">
        <is>
          <t>V</t>
        </is>
      </c>
      <c r="F42" s="9" t="inlineStr">
        <is>
          <t>[7]</t>
        </is>
      </c>
      <c r="G42" s="16" t="n"/>
      <c r="H42" s="16" t="n"/>
      <c r="I42" s="16" t="n"/>
    </row>
    <row r="43" ht="17" customHeight="1">
      <c r="A43" s="9" t="inlineStr">
        <is>
          <t>Adapter voltage tolerance</t>
        </is>
      </c>
      <c r="B43" s="16" t="n"/>
      <c r="C43" s="16" t="n"/>
      <c r="D43" s="20" t="n">
        <v>0.05</v>
      </c>
      <c r="E43" s="10" t="inlineStr"/>
      <c r="F43" s="9" t="inlineStr">
        <is>
          <t>±5% line and load regulation [7]</t>
        </is>
      </c>
      <c r="G43" s="16" t="n"/>
      <c r="H43" s="16" t="n"/>
      <c r="I43" s="16" t="n"/>
    </row>
    <row r="44" ht="17" customHeight="1">
      <c r="A44" s="9" t="inlineStr">
        <is>
          <t>Highest adapter voltage</t>
        </is>
      </c>
      <c r="B44" s="16" t="n"/>
      <c r="C44" s="16" t="n"/>
      <c r="D44" s="11">
        <f>$D$42*(1+$D$43)</f>
        <v/>
      </c>
      <c r="E44" s="10" t="inlineStr">
        <is>
          <t>V</t>
        </is>
      </c>
      <c r="F44" s="9" t="inlineStr"/>
      <c r="G44" s="16" t="n"/>
      <c r="H44" s="16" t="n"/>
      <c r="I44" s="16" t="n"/>
    </row>
    <row r="45" ht="17" customHeight="1">
      <c r="A45" s="9" t="inlineStr">
        <is>
          <t>Lowest adapter voltage</t>
        </is>
      </c>
      <c r="B45" s="16" t="n"/>
      <c r="C45" s="16" t="n"/>
      <c r="D45" s="11">
        <f>$D$42*(1-$D$43)</f>
        <v/>
      </c>
      <c r="E45" s="10" t="inlineStr">
        <is>
          <t>V</t>
        </is>
      </c>
      <c r="F45" s="9" t="inlineStr"/>
      <c r="G45" s="16" t="n"/>
      <c r="H45" s="16" t="n"/>
      <c r="I45" s="16" t="n"/>
    </row>
    <row r="46" ht="17" customHeight="1">
      <c r="A46" s="9" t="inlineStr">
        <is>
          <t>Regulator nominal output voltage</t>
        </is>
      </c>
      <c r="B46" s="16" t="n"/>
      <c r="C46" s="16" t="n"/>
      <c r="D46" s="11" t="n">
        <v>5</v>
      </c>
      <c r="E46" s="10" t="inlineStr">
        <is>
          <t>V</t>
        </is>
      </c>
      <c r="F46" s="9" t="inlineStr">
        <is>
          <t>LM1086-5.0 fixed output [6]</t>
        </is>
      </c>
      <c r="G46" s="16" t="n"/>
      <c r="H46" s="16" t="n"/>
      <c r="I46" s="16" t="n"/>
    </row>
    <row r="47" ht="17" customHeight="1">
      <c r="A47" s="9" t="inlineStr">
        <is>
          <t>Lowest regulated output voltage</t>
        </is>
      </c>
      <c r="B47" s="16" t="n"/>
      <c r="C47" s="16" t="n"/>
      <c r="D47" s="11" t="n">
        <v>4.9</v>
      </c>
      <c r="E47" s="10" t="inlineStr">
        <is>
          <t>V</t>
        </is>
      </c>
      <c r="F47" s="9" t="inlineStr">
        <is>
          <t>4.900 V min, VIN 6.5 to 20 V, full load and temperature range [6]</t>
        </is>
      </c>
      <c r="G47" s="16" t="n"/>
      <c r="H47" s="16" t="n"/>
      <c r="I47" s="16" t="n"/>
    </row>
    <row r="48" ht="17" customHeight="1">
      <c r="A48" s="9" t="inlineStr">
        <is>
          <t>Highest regulated output voltage</t>
        </is>
      </c>
      <c r="B48" s="16" t="n"/>
      <c r="C48" s="16" t="n"/>
      <c r="D48" s="11" t="n">
        <v>5.1</v>
      </c>
      <c r="E48" s="10" t="inlineStr">
        <is>
          <t>V</t>
        </is>
      </c>
      <c r="F48" s="9" t="inlineStr">
        <is>
          <t>5.100 V max over the same conditions; within the backlight's 4.9 to 5.1 V range [6]</t>
        </is>
      </c>
      <c r="G48" s="16" t="n"/>
      <c r="H48" s="16" t="n"/>
      <c r="I48" s="16" t="n"/>
    </row>
    <row r="49" ht="17" customHeight="1">
      <c r="A49" s="9" t="inlineStr">
        <is>
          <t>Adapter ripple, peak-to-peak</t>
        </is>
      </c>
      <c r="B49" s="16" t="n"/>
      <c r="C49" s="16" t="n"/>
      <c r="D49" s="11" t="n">
        <v>0.15</v>
      </c>
      <c r="E49" s="10" t="inlineStr">
        <is>
          <t>V</t>
        </is>
      </c>
      <c r="F49" s="9" t="inlineStr">
        <is>
          <t>150 mV p-p max [7]</t>
        </is>
      </c>
      <c r="G49" s="16" t="n"/>
      <c r="H49" s="16" t="n"/>
      <c r="I49" s="16" t="n"/>
    </row>
    <row r="50" ht="17" customHeight="1">
      <c r="A50" s="9" t="inlineStr">
        <is>
          <t>Regulator dropout voltage, max</t>
        </is>
      </c>
      <c r="B50" s="16" t="n"/>
      <c r="C50" s="16" t="n"/>
      <c r="D50" s="11" t="n">
        <v>1.5</v>
      </c>
      <c r="E50" s="10" t="inlineStr">
        <is>
          <t>V</t>
        </is>
      </c>
      <c r="F50" s="9" t="inlineStr">
        <is>
          <t>1.5 V max at 1.5 A [6]</t>
        </is>
      </c>
      <c r="G50" s="16" t="n"/>
      <c r="H50" s="16" t="n"/>
      <c r="I50" s="16" t="n"/>
    </row>
    <row r="51" ht="17" customHeight="1">
      <c r="A51" s="9" t="inlineStr">
        <is>
          <t>Lowest regulator input (low adapter − ½ ripple − cord/jack drop)</t>
        </is>
      </c>
      <c r="B51" s="16" t="n"/>
      <c r="C51" s="16" t="n"/>
      <c r="D51" s="11">
        <f>$D$45-$D$49/2-$D$86*$G$24/1000</f>
        <v/>
      </c>
      <c r="E51" s="10" t="inlineStr">
        <is>
          <t>V</t>
        </is>
      </c>
      <c r="F51" s="9" t="inlineStr"/>
      <c r="G51" s="16" t="n"/>
      <c r="H51" s="16" t="n"/>
      <c r="I51" s="16" t="n"/>
    </row>
    <row r="52" ht="17" customHeight="1">
      <c r="A52" s="9" t="inlineStr">
        <is>
          <t>Input required to stay in regulation (max Vout + max dropout)</t>
        </is>
      </c>
      <c r="B52" s="16" t="n"/>
      <c r="C52" s="16" t="n"/>
      <c r="D52" s="11">
        <f>$D$48+$D$50</f>
        <v/>
      </c>
      <c r="E52" s="10" t="inlineStr">
        <is>
          <t>V</t>
        </is>
      </c>
      <c r="F52" s="9" t="inlineStr">
        <is>
          <t>Also above the 6.5 V minimum for the output accuracy spec</t>
        </is>
      </c>
      <c r="G52" s="16" t="n"/>
      <c r="H52" s="16" t="n"/>
      <c r="I52" s="16" t="n"/>
    </row>
    <row r="53" ht="17" customHeight="1">
      <c r="A53" s="7" t="inlineStr">
        <is>
          <t>Dropout headroom</t>
        </is>
      </c>
      <c r="B53" s="24" t="n"/>
      <c r="C53" s="24" t="n"/>
      <c r="D53" s="33">
        <f>$D$51-$D$52</f>
        <v/>
      </c>
      <c r="E53" s="31" t="inlineStr">
        <is>
          <t>V</t>
        </is>
      </c>
      <c r="F53" s="25" t="inlineStr">
        <is>
          <t>Must be positive</t>
        </is>
      </c>
      <c r="G53" s="24" t="n"/>
      <c r="H53" s="24" t="n"/>
      <c r="I53" s="24" t="n"/>
    </row>
    <row r="55">
      <c r="A55" s="6" t="inlineStr">
        <is>
          <t>4. LM1086 Thermal Check (40 °C enclosure, natural convection)</t>
        </is>
      </c>
    </row>
    <row r="56">
      <c r="A56" s="26" t="inlineStr">
        <is>
          <t>Parameter</t>
        </is>
      </c>
      <c r="B56" s="27" t="n"/>
      <c r="C56" s="27" t="n"/>
      <c r="D56" s="28" t="inlineStr">
        <is>
          <t>Value</t>
        </is>
      </c>
      <c r="E56" s="28" t="inlineStr">
        <is>
          <t>Unit</t>
        </is>
      </c>
      <c r="F56" s="26" t="inlineStr">
        <is>
          <t>Notes / Source</t>
        </is>
      </c>
      <c r="G56" s="27" t="n"/>
      <c r="H56" s="27" t="n"/>
      <c r="I56" s="27" t="n"/>
    </row>
    <row r="57" ht="17" customHeight="1">
      <c r="A57" s="9" t="inlineStr">
        <is>
          <t>Enclosure ambient design temperature</t>
        </is>
      </c>
      <c r="B57" s="16" t="n"/>
      <c r="C57" s="16" t="n"/>
      <c r="D57" s="14" t="n">
        <v>40</v>
      </c>
      <c r="E57" s="10" t="inlineStr">
        <is>
          <t>°C</t>
        </is>
      </c>
      <c r="F57" s="9" t="inlineStr">
        <is>
          <t>Design assumption; adapter is also rated to 40 °C at full load</t>
        </is>
      </c>
      <c r="G57" s="16" t="n"/>
      <c r="H57" s="16" t="n"/>
      <c r="I57" s="16" t="n"/>
    </row>
    <row r="58" ht="17" customHeight="1">
      <c r="A58" s="9" t="inlineStr">
        <is>
          <t>Junction to tab, TO-220 (output section)</t>
        </is>
      </c>
      <c r="B58" s="16" t="n"/>
      <c r="C58" s="16" t="n"/>
      <c r="D58" s="14" t="n">
        <v>4</v>
      </c>
      <c r="E58" s="10" t="inlineStr">
        <is>
          <t>°C/W</t>
        </is>
      </c>
      <c r="F58" s="9" t="inlineStr">
        <is>
          <t>RθJC 1.5 (control) / 4.0 (output) °C/W; 4.0 used for both [6]</t>
        </is>
      </c>
      <c r="G58" s="16" t="n"/>
      <c r="H58" s="16" t="n"/>
      <c r="I58" s="16" t="n"/>
    </row>
    <row r="59" ht="17" customHeight="1">
      <c r="A59" s="9" t="inlineStr">
        <is>
          <t>Insulating pad and mounting allowance</t>
        </is>
      </c>
      <c r="B59" s="16" t="n"/>
      <c r="C59" s="16" t="n"/>
      <c r="D59" s="14" t="n">
        <v>1</v>
      </c>
      <c r="E59" s="10" t="inlineStr">
        <is>
          <t>°C/W</t>
        </is>
      </c>
      <c r="F59" s="9" t="inlineStr">
        <is>
          <t>SP900S pad is 0.61 °C/W; 1 °C/W budgeted for mounting variation [8]</t>
        </is>
      </c>
      <c r="G59" s="16" t="n"/>
      <c r="H59" s="16" t="n"/>
      <c r="I59" s="16" t="n"/>
    </row>
    <row r="60" ht="17" customHeight="1">
      <c r="A60" s="9" t="inlineStr">
        <is>
          <t>Heat sink, natural convection</t>
        </is>
      </c>
      <c r="B60" s="16" t="n"/>
      <c r="C60" s="16" t="n"/>
      <c r="D60" s="14" t="n">
        <v>10</v>
      </c>
      <c r="E60" s="10" t="inlineStr">
        <is>
          <t>°C/W</t>
        </is>
      </c>
      <c r="F60" s="9" t="inlineStr">
        <is>
          <t>HSE14-384225P: 10.0 °C/W at 1 W (9.6 °C/W at 2 W) [9]</t>
        </is>
      </c>
      <c r="G60" s="16" t="n"/>
      <c r="H60" s="16" t="n"/>
      <c r="I60" s="16" t="n"/>
    </row>
    <row r="61" ht="17" customHeight="1">
      <c r="A61" s="9" t="inlineStr">
        <is>
          <t>Total junction-to-ambient resistance</t>
        </is>
      </c>
      <c r="B61" s="16" t="n"/>
      <c r="C61" s="16" t="n"/>
      <c r="D61" s="14">
        <f>SUM($D$58,$D$59,$D$60)</f>
        <v/>
      </c>
      <c r="E61" s="10" t="inlineStr">
        <is>
          <t>°C/W</t>
        </is>
      </c>
      <c r="F61" s="9" t="inlineStr"/>
      <c r="G61" s="16" t="n"/>
      <c r="H61" s="16" t="n"/>
      <c r="I61" s="16" t="n"/>
    </row>
    <row r="62" ht="17" customHeight="1">
      <c r="A62" s="9" t="inlineStr">
        <is>
          <t>Junction temperature limit</t>
        </is>
      </c>
      <c r="B62" s="16" t="n"/>
      <c r="C62" s="16" t="n"/>
      <c r="D62" s="14" t="n">
        <v>125</v>
      </c>
      <c r="E62" s="10" t="inlineStr">
        <is>
          <t>°C</t>
        </is>
      </c>
      <c r="F62" s="9" t="inlineStr">
        <is>
          <t>Control section TJ max 125 °C (output section 150 °C) [6]</t>
        </is>
      </c>
      <c r="G62" s="16" t="n"/>
      <c r="H62" s="16" t="n"/>
      <c r="I62" s="16" t="n"/>
    </row>
    <row r="63" ht="17" customHeight="1">
      <c r="A63" s="9" t="inlineStr">
        <is>
          <t>Allowable regulator dissipation</t>
        </is>
      </c>
      <c r="B63" s="16" t="n"/>
      <c r="C63" s="16" t="n"/>
      <c r="D63" s="13">
        <f>($D$62-$D$57)/$D$61</f>
        <v/>
      </c>
      <c r="E63" s="10" t="inlineStr">
        <is>
          <t>W</t>
        </is>
      </c>
      <c r="F63" s="9" t="inlineStr"/>
      <c r="G63" s="16" t="n"/>
      <c r="H63" s="16" t="n"/>
      <c r="I63" s="16" t="n"/>
    </row>
    <row r="64" ht="17" customHeight="1">
      <c r="A64" s="7" t="inlineStr">
        <is>
          <t>LM1086 dissipation at budget load</t>
        </is>
      </c>
      <c r="B64" s="24" t="n"/>
      <c r="C64" s="24" t="n"/>
      <c r="D64" s="22">
        <f>($D$44-$D$47)*$G$21/1000+$D$44*$G$22/1000</f>
        <v/>
      </c>
      <c r="E64" s="31" t="inlineStr">
        <is>
          <t>W</t>
        </is>
      </c>
      <c r="F64" s="25" t="inlineStr">
        <is>
          <t>(Vin max − Vout min) × Iout + Vin max × Iq</t>
        </is>
      </c>
      <c r="G64" s="24" t="n"/>
      <c r="H64" s="24" t="n"/>
      <c r="I64" s="24" t="n"/>
    </row>
    <row r="65" ht="17" customHeight="1">
      <c r="A65" s="9" t="inlineStr">
        <is>
          <t>Estimated junction temperature</t>
        </is>
      </c>
      <c r="B65" s="16" t="n"/>
      <c r="C65" s="16" t="n"/>
      <c r="D65" s="14">
        <f>$D$57+$D$64*$D$61</f>
        <v/>
      </c>
      <c r="E65" s="10" t="inlineStr">
        <is>
          <t>°C</t>
        </is>
      </c>
      <c r="F65" s="9" t="inlineStr"/>
      <c r="G65" s="16" t="n"/>
      <c r="H65" s="16" t="n"/>
      <c r="I65" s="16" t="n"/>
    </row>
    <row r="66" ht="17" customHeight="1">
      <c r="A66" s="9" t="inlineStr">
        <is>
          <t>Thermal current capability (rounded down to 10 mA)</t>
        </is>
      </c>
      <c r="B66" s="16" t="n"/>
      <c r="C66" s="16" t="n"/>
      <c r="D66" s="29">
        <f>ROUNDDOWN(($D$63-$D$44*$G$22/1000)/($D$44-$D$47)*1000,-1)</f>
        <v/>
      </c>
      <c r="E66" s="10" t="inlineStr">
        <is>
          <t>mA</t>
        </is>
      </c>
      <c r="F66" s="9" t="inlineStr">
        <is>
          <t>Output current that reaches 125 °C junction at 40 °C ambient</t>
        </is>
      </c>
      <c r="G66" s="16" t="n"/>
      <c r="H66" s="16" t="n"/>
      <c r="I66" s="16" t="n"/>
    </row>
    <row r="67" ht="17" customHeight="1">
      <c r="A67" s="7" t="inlineStr">
        <is>
          <t>Junction temperature margin</t>
        </is>
      </c>
      <c r="B67" s="24" t="n"/>
      <c r="C67" s="24" t="n"/>
      <c r="D67" s="23">
        <f>$D$62-$D$65</f>
        <v/>
      </c>
      <c r="E67" s="31" t="inlineStr">
        <is>
          <t>°C</t>
        </is>
      </c>
      <c r="F67" s="25" t="inlineStr"/>
      <c r="G67" s="24" t="n"/>
      <c r="H67" s="24" t="n"/>
      <c r="I67" s="24" t="n"/>
    </row>
    <row r="68" ht="17" customHeight="1">
      <c r="A68" s="9" t="inlineStr">
        <is>
          <t>Heat sink temperature rise above ambient</t>
        </is>
      </c>
      <c r="B68" s="16" t="n"/>
      <c r="C68" s="16" t="n"/>
      <c r="D68" s="14">
        <f>$D$64*$D$60</f>
        <v/>
      </c>
      <c r="E68" s="10" t="inlineStr">
        <is>
          <t>°C</t>
        </is>
      </c>
      <c r="F68" s="9" t="inlineStr">
        <is>
          <t>Keep the heat sink away from the LCD (rated to 70 °C)</t>
        </is>
      </c>
      <c r="G68" s="16" t="n"/>
      <c r="H68" s="16" t="n"/>
      <c r="I68" s="16" t="n"/>
    </row>
    <row r="70">
      <c r="A70" s="6" t="inlineStr">
        <is>
          <t>5. Design Parameters Used in Calculations</t>
        </is>
      </c>
    </row>
    <row r="71">
      <c r="A71" s="26" t="inlineStr">
        <is>
          <t>Parameter</t>
        </is>
      </c>
      <c r="B71" s="27" t="n"/>
      <c r="C71" s="27" t="n"/>
      <c r="D71" s="28" t="inlineStr">
        <is>
          <t>Value</t>
        </is>
      </c>
      <c r="E71" s="28" t="inlineStr">
        <is>
          <t>Unit</t>
        </is>
      </c>
      <c r="F71" s="26" t="inlineStr">
        <is>
          <t>Notes / Source</t>
        </is>
      </c>
      <c r="G71" s="27" t="n"/>
      <c r="H71" s="27" t="n"/>
      <c r="I71" s="27" t="n"/>
    </row>
    <row r="72" ht="17" customHeight="1">
      <c r="A72" s="9" t="inlineStr">
        <is>
          <t>PIC18F57Q43 total power dissipation, absolute max</t>
        </is>
      </c>
      <c r="B72" s="16" t="n"/>
      <c r="C72" s="16" t="n"/>
      <c r="D72" s="34" t="n">
        <v>800</v>
      </c>
      <c r="E72" s="10" t="inlineStr">
        <is>
          <t>mW</t>
        </is>
      </c>
      <c r="F72" s="9" t="inlineStr">
        <is>
          <t>Absolute max rating, used only to set a current ceiling [1]</t>
        </is>
      </c>
      <c r="G72" s="16" t="n"/>
      <c r="H72" s="16" t="n"/>
      <c r="I72" s="16" t="n"/>
    </row>
    <row r="73" ht="17" customHeight="1">
      <c r="A73" s="9" t="inlineStr">
        <is>
          <t>Curiosity Nano board allowance</t>
        </is>
      </c>
      <c r="B73" s="16" t="n"/>
      <c r="C73" s="16" t="n"/>
      <c r="D73" s="14" t="n">
        <v>5.5</v>
      </c>
      <c r="E73" s="10" t="inlineStr">
        <is>
          <t>mA</t>
        </is>
      </c>
      <c r="F73" s="9" t="inlineStr">
        <is>
          <t>LED0: 5.1 V / 950 Ω = 5.37 mA; level shifters and monitor ≈ 0.1 mA; rounded up [2]</t>
        </is>
      </c>
      <c r="G73" s="16" t="n"/>
      <c r="H73" s="16" t="n"/>
      <c r="I73" s="16" t="n"/>
    </row>
    <row r="74" ht="17" customHeight="1">
      <c r="A74" s="9" t="inlineStr">
        <is>
          <t>MCP6002 quiescent current per amplifier, max</t>
        </is>
      </c>
      <c r="B74" s="16" t="n"/>
      <c r="C74" s="16" t="n"/>
      <c r="D74" s="13" t="n">
        <v>0.17</v>
      </c>
      <c r="E74" s="10" t="inlineStr">
        <is>
          <t>mA</t>
        </is>
      </c>
      <c r="F74" s="9" t="inlineStr">
        <is>
          <t>170 µA max, VDD = 5.5 V, 25 °C [3]</t>
        </is>
      </c>
      <c r="G74" s="16" t="n"/>
      <c r="H74" s="16" t="n"/>
      <c r="I74" s="16" t="n"/>
    </row>
    <row r="75" ht="17" customHeight="1">
      <c r="A75" s="9" t="inlineStr">
        <is>
          <t>Amplifiers in MCP6002 package</t>
        </is>
      </c>
      <c r="B75" s="16" t="n"/>
      <c r="C75" s="16" t="n"/>
      <c r="D75" s="34" t="n">
        <v>2</v>
      </c>
      <c r="E75" s="10" t="inlineStr">
        <is>
          <t>ea</t>
        </is>
      </c>
      <c r="F75" s="9" t="inlineStr">
        <is>
          <t>U3A buffer, U3B gain stage</t>
        </is>
      </c>
      <c r="G75" s="16" t="n"/>
      <c r="H75" s="16" t="n"/>
      <c r="I75" s="16" t="n"/>
    </row>
    <row r="76" ht="17" customHeight="1">
      <c r="A76" s="9" t="inlineStr">
        <is>
          <t>Divider, button pull-up, and Rin resistor value</t>
        </is>
      </c>
      <c r="B76" s="16" t="n"/>
      <c r="C76" s="16" t="n"/>
      <c r="D76" s="35" t="n">
        <v>10000</v>
      </c>
      <c r="E76" s="10" t="inlineStr">
        <is>
          <t>Ω</t>
        </is>
      </c>
      <c r="F76" s="9" t="inlineStr">
        <is>
          <t>All 10 kΩ, 1%</t>
        </is>
      </c>
      <c r="G76" s="16" t="n"/>
      <c r="H76" s="16" t="n"/>
      <c r="I76" s="16" t="n"/>
    </row>
    <row r="77" ht="17" customHeight="1">
      <c r="A77" s="9" t="inlineStr">
        <is>
          <t>Fixed resistor tolerance</t>
        </is>
      </c>
      <c r="B77" s="16" t="n"/>
      <c r="C77" s="16" t="n"/>
      <c r="D77" s="20" t="n">
        <v>0.01</v>
      </c>
      <c r="E77" s="10" t="inlineStr"/>
      <c r="F77" s="9" t="inlineStr">
        <is>
          <t>Minimum resistance = value × (1 − tolerance)</t>
        </is>
      </c>
      <c r="G77" s="16" t="n"/>
      <c r="H77" s="16" t="n"/>
      <c r="I77" s="16" t="n"/>
    </row>
    <row r="78" ht="17" customHeight="1">
      <c r="A78" s="9" t="inlineStr">
        <is>
          <t>Contrast trimmer resistance</t>
        </is>
      </c>
      <c r="B78" s="16" t="n"/>
      <c r="C78" s="16" t="n"/>
      <c r="D78" s="35" t="n">
        <v>10000</v>
      </c>
      <c r="E78" s="10" t="inlineStr">
        <is>
          <t>Ω</t>
        </is>
      </c>
      <c r="F78" s="9" t="inlineStr">
        <is>
          <t>5 V to GND, wiper to LCD V0</t>
        </is>
      </c>
      <c r="G78" s="16" t="n"/>
      <c r="H78" s="16" t="n"/>
      <c r="I78" s="16" t="n"/>
    </row>
    <row r="79" ht="17" customHeight="1">
      <c r="A79" s="9" t="inlineStr">
        <is>
          <t>Contrast trimmer tolerance</t>
        </is>
      </c>
      <c r="B79" s="16" t="n"/>
      <c r="C79" s="16" t="n"/>
      <c r="D79" s="20" t="n">
        <v>0.2</v>
      </c>
      <c r="E79" s="10" t="inlineStr"/>
      <c r="F79" s="9" t="inlineStr">
        <is>
          <t>Conservative ±20%</t>
        </is>
      </c>
      <c r="G79" s="16" t="n"/>
      <c r="H79" s="16" t="n"/>
      <c r="I79" s="16" t="n"/>
    </row>
    <row r="80" ht="17" customHeight="1">
      <c r="A80" s="9" t="inlineStr">
        <is>
          <t>Status / debug LED series resistor</t>
        </is>
      </c>
      <c r="B80" s="16" t="n"/>
      <c r="C80" s="16" t="n"/>
      <c r="D80" s="35" t="n">
        <v>2200</v>
      </c>
      <c r="E80" s="10" t="inlineStr">
        <is>
          <t>Ω</t>
        </is>
      </c>
      <c r="F80" s="9" t="inlineStr">
        <is>
          <t>2.2 kΩ, 1%</t>
        </is>
      </c>
      <c r="G80" s="16" t="n"/>
      <c r="H80" s="16" t="n"/>
      <c r="I80" s="16" t="n"/>
    </row>
    <row r="81" ht="17" customHeight="1">
      <c r="A81" s="9" t="inlineStr">
        <is>
          <t>Number of status LEDs</t>
        </is>
      </c>
      <c r="B81" s="16" t="n"/>
      <c r="C81" s="16" t="n"/>
      <c r="D81" s="34" t="n">
        <v>3</v>
      </c>
      <c r="E81" s="10" t="inlineStr">
        <is>
          <t>ea</t>
        </is>
      </c>
      <c r="F81" s="9" t="inlineStr">
        <is>
          <t>Dispensing, Done, Fault</t>
        </is>
      </c>
      <c r="G81" s="16" t="n"/>
      <c r="H81" s="16" t="n"/>
      <c r="I81" s="16" t="n"/>
    </row>
    <row r="82" ht="17" customHeight="1">
      <c r="A82" s="9" t="inlineStr">
        <is>
          <t>Number of buttons with pull-ups</t>
        </is>
      </c>
      <c r="B82" s="16" t="n"/>
      <c r="C82" s="16" t="n"/>
      <c r="D82" s="34" t="n">
        <v>5</v>
      </c>
      <c r="E82" s="10" t="inlineStr">
        <is>
          <t>ea</t>
        </is>
      </c>
      <c r="F82" s="9" t="inlineStr">
        <is>
          <t>UP, DOWN, START, STOP, debug (SW5)</t>
        </is>
      </c>
      <c r="G82" s="16" t="n"/>
      <c r="H82" s="16" t="n"/>
      <c r="I82" s="16" t="n"/>
    </row>
    <row r="83" ht="17" customHeight="1">
      <c r="A83" s="9" t="inlineStr">
        <is>
          <t>9 V power LED resistor (R25)</t>
        </is>
      </c>
      <c r="B83" s="16" t="n"/>
      <c r="C83" s="16" t="n"/>
      <c r="D83" s="35" t="n">
        <v>4700</v>
      </c>
      <c r="E83" s="10" t="inlineStr">
        <is>
          <t>Ω</t>
        </is>
      </c>
      <c r="F83" s="9" t="inlineStr">
        <is>
          <t>4.7 kΩ 0805, in series with D6</t>
        </is>
      </c>
      <c r="G83" s="16" t="n"/>
      <c r="H83" s="16" t="n"/>
      <c r="I83" s="16" t="n"/>
    </row>
    <row r="84" ht="17" customHeight="1">
      <c r="A84" s="9" t="inlineStr">
        <is>
          <t>Number of 9 V power LEDs</t>
        </is>
      </c>
      <c r="B84" s="16" t="n"/>
      <c r="C84" s="16" t="n"/>
      <c r="D84" s="34" t="n">
        <v>1</v>
      </c>
      <c r="E84" s="10" t="inlineStr">
        <is>
          <t>ea</t>
        </is>
      </c>
      <c r="F84" s="9" t="inlineStr">
        <is>
          <t>D6</t>
        </is>
      </c>
      <c r="G84" s="16" t="n"/>
      <c r="H84" s="16" t="n"/>
      <c r="I84" s="16" t="n"/>
    </row>
    <row r="85" ht="17" customHeight="1">
      <c r="A85" s="9" t="inlineStr">
        <is>
          <t>LCD E / ribbon pull-down resistor</t>
        </is>
      </c>
      <c r="B85" s="16" t="n"/>
      <c r="C85" s="16" t="n"/>
      <c r="D85" s="35" t="n">
        <v>100000</v>
      </c>
      <c r="E85" s="10" t="inlineStr">
        <is>
          <t>Ω</t>
        </is>
      </c>
      <c r="F85" s="9" t="inlineStr">
        <is>
          <t>Draws current only while the line is high</t>
        </is>
      </c>
      <c r="G85" s="16" t="n"/>
      <c r="H85" s="16" t="n"/>
      <c r="I85" s="16" t="n"/>
    </row>
    <row r="86" ht="17" customHeight="1">
      <c r="A86" s="9" t="inlineStr">
        <is>
          <t>Adapter cord and jack resistance, round trip</t>
        </is>
      </c>
      <c r="B86" s="16" t="n"/>
      <c r="C86" s="16" t="n"/>
      <c r="D86" s="13" t="n">
        <v>0.152</v>
      </c>
      <c r="E86" s="10" t="inlineStr">
        <is>
          <t>Ω</t>
        </is>
      </c>
      <c r="F86" s="9" t="inlineStr">
        <is>
          <t>20 AWG 6 ft cord: 2 × 1.83 m × 33.3 mΩ/m = 0.122 Ω, + 0.030 Ω jack contact [10]</t>
        </is>
      </c>
      <c r="G86" s="16" t="n"/>
      <c r="H86" s="16" t="n"/>
      <c r="I86" s="16" t="n"/>
    </row>
    <row r="88">
      <c r="A88" s="6" t="inlineStr">
        <is>
          <t>6. Assumptions</t>
        </is>
      </c>
    </row>
    <row r="89">
      <c r="A89" s="2" t="inlineStr">
        <is>
          <t>•  All resistor currents use the worst case: +5V rail at 5.100 V and each resistor at its minimum value; LED forward drop taken as 0 V.</t>
        </is>
      </c>
    </row>
    <row r="90">
      <c r="A90" s="2" t="inlineStr">
        <is>
          <t>•  The 25% safety margin is applied once to the +5V loads. LM1086 quiescent current and the 9 V power LED are added after the margin.</t>
        </is>
      </c>
    </row>
    <row r="91">
      <c r="A91" s="2" t="inlineStr">
        <is>
          <t>•  Power (mW) for +5V loads is calculated at the 5.0 V nominal rail; 9 V loads at the 9 V nominal adapter voltage.</t>
        </is>
      </c>
    </row>
    <row r="92">
      <c r="A92" s="2" t="inlineStr">
        <is>
          <t>•  All five buttons pressed and all LEDs on at the same time (worst case).</t>
        </is>
      </c>
    </row>
    <row r="93">
      <c r="A93" s="2" t="inlineStr">
        <is>
          <t>•  Board current and regulator temperature still need to be measured on the assembled board.</t>
        </is>
      </c>
    </row>
    <row r="95">
      <c r="A95" s="6" t="inlineStr">
        <is>
          <t>7. References</t>
        </is>
      </c>
    </row>
    <row r="96" ht="25" customHeight="1">
      <c r="A96" s="36" t="inlineStr">
        <is>
          <t>[1]  PIC18F27/47/57Q43 Data Sheet, DS40002147 - ww1.microchip.com/downloads/aemDocuments/documents/MCU08/ProductDocuments/DataSheets/PIC18F27-47-57Q43-Microcontroller-Data-Sheet-XLP-DS40002147.pdf</t>
        </is>
      </c>
    </row>
    <row r="97" ht="25" customHeight="1">
      <c r="A97" s="36" t="inlineStr">
        <is>
          <t>[2]  PIC18F57Q43 Curiosity Nano Hardware User Guide, DS40002186B - ww1.microchip.com/downloads/aemDocuments/documents/MCU08/ProductDocuments/UserGuides/PIC18F57Q43-Curiosity-Nano-HW-UserGuide-DS40002186B.pdf</t>
        </is>
      </c>
    </row>
    <row r="98">
      <c r="A98" s="36" t="inlineStr">
        <is>
          <t>[3]  MCP6001/1R/1U/2/4 Data Sheet, DS20001733L - ww1.microchip.com/downloads/en/DeviceDoc/MCP6001-1R-1U-2-4-1-MHz-Low-Power-Op-Amp-DS20001733L.pdf</t>
        </is>
      </c>
    </row>
    <row r="99">
      <c r="A99" s="36" t="inlineStr">
        <is>
          <t>[4]  Newhaven NHD-0216K1Z-FL-YBW Specification - newhavendisplay.com/content/specs/NHD-0216K1Z-FL-YBW.pdf</t>
        </is>
      </c>
    </row>
    <row r="100">
      <c r="A100" s="36" t="inlineStr">
        <is>
          <t>[5]  Advanced Photonix PDV-P8103 Data Sheet - media.digikey.com/pdf/data%20sheets/photonic%20detetectors%20inc%20pdfs/pdv-p8103.pdf</t>
        </is>
      </c>
    </row>
    <row r="101">
      <c r="A101" s="36" t="inlineStr">
        <is>
          <t>[6]  TI LM1086 Data Sheet, SNVS039J - www.ti.com/lit/ds/symlink/lm1086.pdf</t>
        </is>
      </c>
    </row>
    <row r="102">
      <c r="A102" s="36" t="inlineStr">
        <is>
          <t>[7]  Triad Magnetics WSU090-2000 Specification - catalog.triadmagnetics.com/Asset/WSU090-2000.pdf</t>
        </is>
      </c>
    </row>
    <row r="103">
      <c r="A103" s="36" t="inlineStr">
        <is>
          <t>[8]  Bergquist SP900S-0.009-00-54 - www.digikey.com/en/products/detail/bergquist/SP900S-0-009-00-54/307797</t>
        </is>
      </c>
    </row>
    <row r="104">
      <c r="A104" s="36" t="inlineStr">
        <is>
          <t>[9]  Same Sky HSE14-384225P Heat Sink - www.sameskydevices.com/product/resource/hse14-384225p.pdf</t>
        </is>
      </c>
    </row>
    <row r="105">
      <c r="A105" s="36" t="inlineStr">
        <is>
          <t>[10]  Same Sky PJ-102AH DC Power Jack - www.sameskydevices.com/product/resource/pj-102ah.pdf</t>
        </is>
      </c>
    </row>
  </sheetData>
  <mergeCells count="127">
    <mergeCell ref="A90:I90"/>
    <mergeCell ref="F27:I27"/>
    <mergeCell ref="A80:C80"/>
    <mergeCell ref="A37:C37"/>
    <mergeCell ref="A46:C46"/>
    <mergeCell ref="F67:I67"/>
    <mergeCell ref="A99:I99"/>
    <mergeCell ref="F82:I82"/>
    <mergeCell ref="A57:C57"/>
    <mergeCell ref="A101:I101"/>
    <mergeCell ref="A71:C71"/>
    <mergeCell ref="F53:I53"/>
    <mergeCell ref="F29:I29"/>
    <mergeCell ref="F68:I68"/>
    <mergeCell ref="A20:F20"/>
    <mergeCell ref="A43:C43"/>
    <mergeCell ref="A52:C52"/>
    <mergeCell ref="F84:I84"/>
    <mergeCell ref="A63:C63"/>
    <mergeCell ref="F59:I59"/>
    <mergeCell ref="F86:I86"/>
    <mergeCell ref="A77:C77"/>
    <mergeCell ref="A34:C34"/>
    <mergeCell ref="F80:I80"/>
    <mergeCell ref="A83:C83"/>
    <mergeCell ref="A24:F24"/>
    <mergeCell ref="A49:C49"/>
    <mergeCell ref="F79:I79"/>
    <mergeCell ref="A103:I103"/>
    <mergeCell ref="F72:I72"/>
    <mergeCell ref="F81:I81"/>
    <mergeCell ref="F56:I56"/>
    <mergeCell ref="A66:C66"/>
    <mergeCell ref="F71:I71"/>
    <mergeCell ref="A75:C75"/>
    <mergeCell ref="F43:I43"/>
    <mergeCell ref="F58:I58"/>
    <mergeCell ref="A89:I89"/>
    <mergeCell ref="F52:I52"/>
    <mergeCell ref="F37:I37"/>
    <mergeCell ref="A105:I105"/>
    <mergeCell ref="F60:I60"/>
    <mergeCell ref="F57:I57"/>
    <mergeCell ref="A32:C32"/>
    <mergeCell ref="F44:I44"/>
    <mergeCell ref="A91:I91"/>
    <mergeCell ref="A29:C29"/>
    <mergeCell ref="F34:I34"/>
    <mergeCell ref="F63:I63"/>
    <mergeCell ref="A81:C81"/>
    <mergeCell ref="A38:C38"/>
    <mergeCell ref="A100:I100"/>
    <mergeCell ref="A44:C44"/>
    <mergeCell ref="F83:I83"/>
    <mergeCell ref="A93:I93"/>
    <mergeCell ref="A31:C31"/>
    <mergeCell ref="A58:C58"/>
    <mergeCell ref="A102:I102"/>
    <mergeCell ref="F30:I30"/>
    <mergeCell ref="A67:C67"/>
    <mergeCell ref="F33:I33"/>
    <mergeCell ref="F45:I45"/>
    <mergeCell ref="A73:C73"/>
    <mergeCell ref="A51:C51"/>
    <mergeCell ref="F42:I42"/>
    <mergeCell ref="A82:C82"/>
    <mergeCell ref="F85:I85"/>
    <mergeCell ref="A60:C60"/>
    <mergeCell ref="A92:I92"/>
    <mergeCell ref="F75:I75"/>
    <mergeCell ref="F47:I47"/>
    <mergeCell ref="F62:I62"/>
    <mergeCell ref="F46:I46"/>
    <mergeCell ref="F28:I28"/>
    <mergeCell ref="A84:C84"/>
    <mergeCell ref="F61:I61"/>
    <mergeCell ref="F48:I48"/>
    <mergeCell ref="A50:C50"/>
    <mergeCell ref="A86:C86"/>
    <mergeCell ref="A104:I104"/>
    <mergeCell ref="A42:C42"/>
    <mergeCell ref="A47:C47"/>
    <mergeCell ref="F64:I64"/>
    <mergeCell ref="F73:I73"/>
    <mergeCell ref="A62:C62"/>
    <mergeCell ref="A96:I96"/>
    <mergeCell ref="A72:C72"/>
    <mergeCell ref="A28:C28"/>
    <mergeCell ref="A19:F19"/>
    <mergeCell ref="F74:I74"/>
    <mergeCell ref="A30:C30"/>
    <mergeCell ref="A59:C59"/>
    <mergeCell ref="A64:C64"/>
    <mergeCell ref="F36:I36"/>
    <mergeCell ref="F76:I76"/>
    <mergeCell ref="F50:I50"/>
    <mergeCell ref="A79:C79"/>
    <mergeCell ref="A61:C61"/>
    <mergeCell ref="F66:I66"/>
    <mergeCell ref="F31:I31"/>
    <mergeCell ref="A41:C41"/>
    <mergeCell ref="F77:I77"/>
    <mergeCell ref="A74:C74"/>
    <mergeCell ref="A56:C56"/>
    <mergeCell ref="A27:C27"/>
    <mergeCell ref="A21:F21"/>
    <mergeCell ref="F49:I49"/>
    <mergeCell ref="A76:C76"/>
    <mergeCell ref="A33:C33"/>
    <mergeCell ref="A85:C85"/>
    <mergeCell ref="F78:I78"/>
    <mergeCell ref="A53:C53"/>
    <mergeCell ref="A97:I97"/>
    <mergeCell ref="A35:C35"/>
    <mergeCell ref="F65:I65"/>
    <mergeCell ref="A68:C68"/>
    <mergeCell ref="F51:I51"/>
    <mergeCell ref="A48:C48"/>
    <mergeCell ref="F32:I32"/>
    <mergeCell ref="A98:I98"/>
    <mergeCell ref="A36:C36"/>
    <mergeCell ref="F41:I41"/>
    <mergeCell ref="F35:I35"/>
    <mergeCell ref="A45:C45"/>
    <mergeCell ref="F38:I38"/>
    <mergeCell ref="A78:C78"/>
    <mergeCell ref="A65:C65"/>
  </mergeCells>
  <pageMargins left="0.5" right="0.5" top="0.6" bottom="0.6" header="0.5" footer="0.5"/>
  <pageSetup orientation="landscape" paperSize="1" scale="76"/>
  <headerFooter>
    <oddHeader/>
    <oddFooter>&amp;C&amp;8 Fill-A-Bot Main Control Board Power Budget  |  Page &amp;P of &amp;N</oddFooter>
    <evenHeader/>
    <evenFooter/>
    <firstHeader/>
    <firstFooter/>
  </headerFooter>
  <rowBreaks count="3" manualBreakCount="3">
    <brk id="54" min="0" max="16383" man="1"/>
    <brk id="87" min="0" max="16383" man="1"/>
    <brk id="24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Nikita Bangiyev</dc:creator>
  <dc:title xmlns:dc="http://purl.org/dc/elements/1.1/">Fill-A-Bot Main Control Board Power Budget</dc:title>
  <dcterms:created xmlns:dcterms="http://purl.org/dc/terms/" xmlns:xsi="http://www.w3.org/2001/XMLSchema-instance" xsi:type="dcterms:W3CDTF">2026-10-30T08:55:11Z</dcterms:created>
  <dcterms:modified xmlns:dcterms="http://purl.org/dc/terms/" xmlns:xsi="http://www.w3.org/2001/XMLSchema-instance" xsi:type="dcterms:W3CDTF">2026-10-30T08:55:11Z</dcterms:modified>
</cp:coreProperties>
</file>