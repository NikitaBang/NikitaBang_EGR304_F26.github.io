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<sst xmlns="http://schemas.openxmlformats.org/spreadsheetml/2006/main" count="353" uniqueCount="203">
  <si>
    <t xml:space="preserve">Main Control Board Power Budget</t>
  </si>
  <si>
    <t xml:space="preserve">Team 201, Fill-A-Bot. Nikita Bangiyev. Updated October 16, 2026.</t>
  </si>
  <si>
    <t xml:space="preserve">Individual subsystem only: one 5V rail, one 9V wall adapter. Built from the class Power Budget Example template (sections A-E). Currents are in mA.</t>
  </si>
  <si>
    <t xml:space="preserve">Blue numbers are inputs you can change. Black numbers are formulas.</t>
  </si>
  <si>
    <t xml:space="preserve">A. All powered major components (not power sources or regulators)</t>
  </si>
  <si>
    <t xml:space="preserve">Component name</t>
  </si>
  <si>
    <t xml:space="preserve">Part number</t>
  </si>
  <si>
    <t xml:space="preserve">Supply voltage range</t>
  </si>
  <si>
    <t xml:space="preserve">Qty</t>
  </si>
  <si>
    <t xml:space="preserve">Max current used (mA)</t>
  </si>
  <si>
    <t xml:space="preserve">Total current (mA)</t>
  </si>
  <si>
    <t xml:space="preserve">Unit</t>
  </si>
  <si>
    <t xml:space="preserve">Value type</t>
  </si>
  <si>
    <t xml:space="preserve">Source and basis</t>
  </si>
  <si>
    <t xml:space="preserve">Source URL</t>
  </si>
  <si>
    <t xml:space="preserve">Curiosity Nano: PIC18F57Q43 plus board target circuits</t>
  </si>
  <si>
    <t xml:space="preserve">DM164150 (PIC18F57Q43)</t>
  </si>
  <si>
    <t xml:space="preserve">1.8 to 5.5V; 5V used</t>
  </si>
  <si>
    <t xml:space="preserve">mA</t>
  </si>
  <si>
    <t xml:space="preserve">Derived ceiling</t>
  </si>
  <si>
    <t xml:space="preserve">Microchip only lists max current at 3V, not 5V. Safe estimate: 800mW max power / 4.9V = 163.3mA, plus 5.5mA for the Nano LED and level shifters, rounded up to 170mA.</t>
  </si>
  <si>
    <t xml:space="preserve">https://ww1.microchip.com/downloads/aemDocuments/documents/MCU08/ProductDocuments/DataSheets/PIC18F27-47-57Q43-Microcontroller-Data-Sheet-XLP-DS40002147.pdf</t>
  </si>
  <si>
    <t xml:space="preserve">Dual op amp, both channels plus feedback load</t>
  </si>
  <si>
    <t xml:space="preserve">MCP6002-I/P</t>
  </si>
  <si>
    <t xml:space="preserve">1.8 to 6.0V; 5V used</t>
  </si>
  <si>
    <t xml:space="preserve">Datasheet max + calculated</t>
  </si>
  <si>
    <t xml:space="preserve">2 x 0.170mA max per op amp + 5.1V / 9.9k ohm through the feedback resistors.</t>
  </si>
  <si>
    <t xml:space="preserve">https://ww1.microchip.com/downloads/en/DeviceDoc/MCP6001-1R-1U-2-4-1-MHz-Low-Power-Op-Amp-DS20001733L.pdf</t>
  </si>
  <si>
    <t xml:space="preserve">LCD logic, including its built-in ST7066U controller</t>
  </si>
  <si>
    <t xml:space="preserve">NHD-0216K1Z-FL-YBW</t>
  </si>
  <si>
    <t xml:space="preserve">4.5 to 5.5V; 5V used</t>
  </si>
  <si>
    <t xml:space="preserve">Datasheet max</t>
  </si>
  <si>
    <t xml:space="preserve">IDD 3.0mA max at 5.0V.</t>
  </si>
  <si>
    <t xml:space="preserve">https://newhavendisplay.com/content/specs/NHD-0216K1Z-FL-YBW.pdf</t>
  </si>
  <si>
    <t xml:space="preserve">LCD backlight at full brightness</t>
  </si>
  <si>
    <t xml:space="preserve">4.9 to 5.1V; 5V used</t>
  </si>
  <si>
    <t xml:space="preserve">Backlight 156mA max at 5.0V.</t>
  </si>
  <si>
    <t xml:space="preserve">LDR cup-sensor divider</t>
  </si>
  <si>
    <t xml:space="preserve">PDV-P8103 + 10k ohm 1%</t>
  </si>
  <si>
    <t xml:space="preserve">5V used; cell rated 150V</t>
  </si>
  <si>
    <t xml:space="preserve">Calculated bound</t>
  </si>
  <si>
    <t xml:space="preserve">5.1V / 9.9k ohm, worst case if the LDR goes to 0 ohm.</t>
  </si>
  <si>
    <t xml:space="preserve">https://media.digikey.com/pdf/data%20sheets/photonic%20detetectors%20inc%20pdfs/pdv-p8103.pdf</t>
  </si>
  <si>
    <t xml:space="preserve">Major-component subtotal</t>
  </si>
  <si>
    <t xml:space="preserve">Resistor currents use the worst case: 5.1V rail and each resistor at its lowest value.</t>
  </si>
  <si>
    <t xml:space="preserve">B. 5V rail: every load assigned once, then one 25% safety margin</t>
  </si>
  <si>
    <t xml:space="preserve">Same as Section A.</t>
  </si>
  <si>
    <t xml:space="preserve">2.5V reference divider for U3B</t>
  </si>
  <si>
    <t xml:space="preserve">Two 10k ohm, 1%</t>
  </si>
  <si>
    <t xml:space="preserve">5V</t>
  </si>
  <si>
    <t xml:space="preserve">5.1V / 19.8k ohm = 0.258mA.</t>
  </si>
  <si>
    <t xml:space="preserve">LCD E pull-down (while E is high)</t>
  </si>
  <si>
    <t xml:space="preserve">100k ohm</t>
  </si>
  <si>
    <t xml:space="preserve">5.1V / 99k ohm = 0.052mA. Sourced by RC5.</t>
  </si>
  <si>
    <t xml:space="preserve">LCD contrast trimmer</t>
  </si>
  <si>
    <t xml:space="preserve">10k ohm trimmer</t>
  </si>
  <si>
    <t xml:space="preserve">5.1V / 8k ohm = 0.638mA.</t>
  </si>
  <si>
    <t xml:space="preserve">Three status LED branches</t>
  </si>
  <si>
    <t xml:space="preserve">LED + 2.2k ohm each</t>
  </si>
  <si>
    <t xml:space="preserve">Each 5.1V / 2.178k ohm = 2.342mA with zero LED drop. Real current is about 1.4mA each.</t>
  </si>
  <si>
    <t xml:space="preserve">Four button pull-ups (all pressed)</t>
  </si>
  <si>
    <t xml:space="preserve">10k ohm each</t>
  </si>
  <si>
    <t xml:space="preserve">4 x 5.1V / 9.9k ohm = 2.061mA.</t>
  </si>
  <si>
    <t xml:space="preserve">Two host I2C pull-ups (both lines low)</t>
  </si>
  <si>
    <t xml:space="preserve">4.7k ohm each</t>
  </si>
  <si>
    <t xml:space="preserve">2 x 5.1V / 4.653k ohm = 2.193mA. No other board adds pull-ups.</t>
  </si>
  <si>
    <t xml:space="preserve">Total 5V load before margin</t>
  </si>
  <si>
    <t xml:space="preserve">Safety margin</t>
  </si>
  <si>
    <t xml:space="preserve">Class requirement: 25% added once.</t>
  </si>
  <si>
    <t xml:space="preserve">Total 5V current required, including margin</t>
  </si>
  <si>
    <t xml:space="preserve">5V load power including margin (at 5.0V)</t>
  </si>
  <si>
    <t xml:space="preserve">W</t>
  </si>
  <si>
    <t xml:space="preserve">C. Regulator for the 5V rail</t>
  </si>
  <si>
    <t xml:space="preserve">5V low-dropout linear regulator</t>
  </si>
  <si>
    <t xml:space="preserve">LM1086IT-5.0/NOPB (TO-220)</t>
  </si>
  <si>
    <t xml:space="preserve">6.5 to 20V in for full accuracy; 9V used</t>
  </si>
  <si>
    <t xml:space="preserve">Datasheet rating</t>
  </si>
  <si>
    <t xml:space="preserve">TI SNVS039J: 1.5A output; current limit 1.5A min. This is what it can supply, not what it uses.</t>
  </si>
  <si>
    <t xml:space="preserve">https://www.ti.com/lit/ds/symlink/lm1086.pdf</t>
  </si>
  <si>
    <t xml:space="preserve">Required 5V current including margin</t>
  </si>
  <si>
    <t xml:space="preserve">Electrical current remaining</t>
  </si>
  <si>
    <t xml:space="preserve">Thermal current capability with the heat sink (from thermal check)</t>
  </si>
  <si>
    <t xml:space="preserve">Current remaining before the thermal limit</t>
  </si>
  <si>
    <t xml:space="preserve">D. External power source</t>
  </si>
  <si>
    <t xml:space="preserve">AC input range</t>
  </si>
  <si>
    <t xml:space="preserve">DC V</t>
  </si>
  <si>
    <t xml:space="preserve">Capacity (mA)</t>
  </si>
  <si>
    <t xml:space="preserve">Current (mA)</t>
  </si>
  <si>
    <t xml:space="preserve">Regulated 9V wall adapter</t>
  </si>
  <si>
    <t xml:space="preserve">Triad Magnetics WSU090-2000</t>
  </si>
  <si>
    <t xml:space="preserve">90 to 264VAC</t>
  </si>
  <si>
    <t xml:space="preserve">Triad WSU090-2000 spec: 9VDC, 2.0A, +/-5% line and load regulation, 150mV p-p ripple max, 0 to 40C at full load. 5.5 x 2.1 x 11mm plug, center positive.</t>
  </si>
  <si>
    <t xml:space="preserve">https://catalog.triadmagnetics.com/Asset/WSU090-2000.pdf</t>
  </si>
  <si>
    <t xml:space="preserve">Regulator connected to this source: LM1086 rating (class template method)</t>
  </si>
  <si>
    <t xml:space="preserve">Total remaining on the source, class template method (must not be negative)</t>
  </si>
  <si>
    <t xml:space="preserve">Regulator output current including margin</t>
  </si>
  <si>
    <t xml:space="preserve">Regulator quiescent (ground) current, max</t>
  </si>
  <si>
    <t xml:space="preserve">LM1086-5.0: 10mA max, VIN &lt;= 20V (typ 5mA). Added once, after the margin.</t>
  </si>
  <si>
    <t xml:space="preserve">Actual adapter current needed (linear regulator: Iout + Iq)</t>
  </si>
  <si>
    <t xml:space="preserve">Adapter current remaining, actual load</t>
  </si>
  <si>
    <t xml:space="preserve">Adapter DC power used</t>
  </si>
  <si>
    <t xml:space="preserve">E. Battery life</t>
  </si>
  <si>
    <t xml:space="preserve">Battery source</t>
  </si>
  <si>
    <t xml:space="preserve">N/A</t>
  </si>
  <si>
    <t xml:space="preserve">Wall adapter only. No battery is used.</t>
  </si>
  <si>
    <t xml:space="preserve">Battery capacity</t>
  </si>
  <si>
    <t xml:space="preserve">Worst-case battery life</t>
  </si>
  <si>
    <t xml:space="preserve">Voltage, dropout, and thermal checks (40C enclosure, natural convection)</t>
  </si>
  <si>
    <t xml:space="preserve">Supply voltage check</t>
  </si>
  <si>
    <t xml:space="preserve">Adapter nominal output voltage</t>
  </si>
  <si>
    <t xml:space="preserve">V</t>
  </si>
  <si>
    <t xml:space="preserve">Adapter voltage tolerance</t>
  </si>
  <si>
    <t xml:space="preserve">Triad: +/-5% line and load regulation.</t>
  </si>
  <si>
    <t xml:space="preserve">Highest adapter voltage</t>
  </si>
  <si>
    <t xml:space="preserve">Lowest adapter voltage</t>
  </si>
  <si>
    <t xml:space="preserve">Regulator nominal output voltage</t>
  </si>
  <si>
    <t xml:space="preserve">Datasheet</t>
  </si>
  <si>
    <t xml:space="preserve">LM1086-5.0 fixed output.</t>
  </si>
  <si>
    <t xml:space="preserve">Lowest regulated output voltage</t>
  </si>
  <si>
    <t xml:space="preserve">Datasheet min</t>
  </si>
  <si>
    <t xml:space="preserve">LM1086-5.0: 4.900V min over the full range (VIN 6.5 to 20V, 0 to full load, full temperature).</t>
  </si>
  <si>
    <t xml:space="preserve">Highest regulated output voltage</t>
  </si>
  <si>
    <t xml:space="preserve">LM1086-5.0: 5.100V max over the same conditions. Matches the LCD backlight's 4.9 to 5.1V range.</t>
  </si>
  <si>
    <t xml:space="preserve">Adapter ripple, peak-to-peak</t>
  </si>
  <si>
    <t xml:space="preserve">Triad: 150mV p-p max.</t>
  </si>
  <si>
    <t xml:space="preserve">Regulator dropout voltage, max</t>
  </si>
  <si>
    <t xml:space="preserve">LM1086: 1.5V max at 1.5A over the full range.</t>
  </si>
  <si>
    <t xml:space="preserve">Lowest regulator input (low adapter, minus half the ripple, minus cord and jack drop)</t>
  </si>
  <si>
    <t xml:space="preserve">Calculated</t>
  </si>
  <si>
    <t xml:space="preserve">Input needed to stay in regulation (highest output + max dropout)</t>
  </si>
  <si>
    <t xml:space="preserve">Also above the 6.5V minimum for the 4.9 to 5.1V accuracy spec.</t>
  </si>
  <si>
    <t xml:space="preserve">Dropout headroom</t>
  </si>
  <si>
    <t xml:space="preserve">Must be positive.</t>
  </si>
  <si>
    <t xml:space="preserve">Thermal check</t>
  </si>
  <si>
    <t xml:space="preserve">Enclosure ambient design temperature</t>
  </si>
  <si>
    <t xml:space="preserve">C</t>
  </si>
  <si>
    <t xml:space="preserve">Assumption</t>
  </si>
  <si>
    <t xml:space="preserve">Design assumption. The adapter is also rated to 40C at full load.</t>
  </si>
  <si>
    <t xml:space="preserve">Junction to tab, LM1086 TO-220 (output section, used for both)</t>
  </si>
  <si>
    <t xml:space="preserve">C/W</t>
  </si>
  <si>
    <t xml:space="preserve">SNVS039J table 6.4: RthetaJC(bot) 1.5 (control) / 4.0 (output) C/W. Using 4.0 is conservative.</t>
  </si>
  <si>
    <t xml:space="preserve">Insulating pad and mounting allowance</t>
  </si>
  <si>
    <t xml:space="preserve">Datasheet + allowance</t>
  </si>
  <si>
    <t xml:space="preserve">Bergquist SP900S-0.009-00-54 TO-220 pad lists 0.61 C/W. I budget 1 C/W for mounting variation.</t>
  </si>
  <si>
    <t xml:space="preserve">https://www.digikey.com/en/products/detail/bergquist/SP900S-0-009-00-54/307797</t>
  </si>
  <si>
    <t xml:space="preserve">Heat sink, natural convection</t>
  </si>
  <si>
    <t xml:space="preserve">Same Sky HSE14-384225P: 10.0 C/W at 1W (19.2C rise at 2W = 9.6 C/W). Conservative near 2W.</t>
  </si>
  <si>
    <t xml:space="preserve">https://www.sameskydevices.com/product/resource/hse14-384225p.pdf</t>
  </si>
  <si>
    <t xml:space="preserve">Total junction-to-ambient resistance</t>
  </si>
  <si>
    <t xml:space="preserve">Junction temperature limit used</t>
  </si>
  <si>
    <t xml:space="preserve">LM1086 control section TJ max 125C (output section 150C). Using 125C for everything is conservative.</t>
  </si>
  <si>
    <t xml:space="preserve">Allowable regulator dissipation</t>
  </si>
  <si>
    <t xml:space="preserve">Regulator dissipation at the budget load: (Vin high - Vout low) x Iout + Vin high x Iq</t>
  </si>
  <si>
    <t xml:space="preserve">Estimated junction temperature</t>
  </si>
  <si>
    <t xml:space="preserve">Thermal current capability, rounded down to 10mA</t>
  </si>
  <si>
    <t xml:space="preserve">Output current that would reach the 125C limit at 40C.</t>
  </si>
  <si>
    <t xml:space="preserve">Junction temperature margin</t>
  </si>
  <si>
    <t xml:space="preserve">Heat sink temperature rise</t>
  </si>
  <si>
    <t xml:space="preserve">Keep the sink away from the LCD (rated to 70C).</t>
  </si>
  <si>
    <t xml:space="preserve">Note: the real board current and regulator temperature still need to be measured on the built board.</t>
  </si>
  <si>
    <t xml:space="preserve">Inputs used by the formulas above</t>
  </si>
  <si>
    <t xml:space="preserve">Input</t>
  </si>
  <si>
    <t xml:space="preserve">Value</t>
  </si>
  <si>
    <t xml:space="preserve">PIC absolute-maximum total power dissipation</t>
  </si>
  <si>
    <t xml:space="preserve">mW</t>
  </si>
  <si>
    <t xml:space="preserve">Absolute max (stress)</t>
  </si>
  <si>
    <t xml:space="preserve">DS40002147H, section 47.1 Absolute Maximum Ratings: total power dissipation 800mW. Used only to build a ceiling, never as an operating point.</t>
  </si>
  <si>
    <t xml:space="preserve">Nano board target-side allowance</t>
  </si>
  <si>
    <t xml:space="preserve">Engineering allowance</t>
  </si>
  <si>
    <t xml:space="preserve">LED0 (yellow LED with 1k ohm to VCC_TARGET, schematic R202/D200): 5.1V / 950 ohm = 5.37mA with zero LED drop and a -5% resistor. Level shifters and voltage monitor: about 0.1mA (user guide 3.3.2). Sum 5.47mA, rounded up to 5.5mA.</t>
  </si>
  <si>
    <t xml:space="preserve">https://ww1.microchip.com/downloads/aemDocuments/documents/MCU08/ProductDocuments/UserGuides/PIC18F57Q43-Curiosity-Nano-HW-UserGuide-DS40002186B.pdf</t>
  </si>
  <si>
    <t xml:space="preserve">MCP6002 quiescent current per amplifier, max</t>
  </si>
  <si>
    <t xml:space="preserve">DS20001733L DC table: IQ 170uA max per amplifier, IO = 0, VDD = 5.5V, TA = +25C.</t>
  </si>
  <si>
    <t xml:space="preserve">Amplifiers in the MCP6002 package</t>
  </si>
  <si>
    <t xml:space="preserve">#</t>
  </si>
  <si>
    <t xml:space="preserve">Count</t>
  </si>
  <si>
    <t xml:space="preserve">Dual op amp: U3A buffer and U3B gain stage.</t>
  </si>
  <si>
    <t xml:space="preserve">Divider, button, and Rin resistor value</t>
  </si>
  <si>
    <t xml:space="preserve">ohm</t>
  </si>
  <si>
    <t xml:space="preserve">Selected value</t>
  </si>
  <si>
    <t xml:space="preserve">LDR divider R1, the two reference divider resistors, four button pull-ups, and U3B Rin are all 10k ohm, 1%.</t>
  </si>
  <si>
    <t xml:space="preserve">Fixed resistor tolerance</t>
  </si>
  <si>
    <t xml:space="preserve">1% resistors. Minimum resistance = value x (1 - tolerance).</t>
  </si>
  <si>
    <t xml:space="preserve">Contrast trimmer resistance</t>
  </si>
  <si>
    <t xml:space="preserve">10k ohm trimmer from 5V to GND, wiper to LCD V0.</t>
  </si>
  <si>
    <t xml:space="preserve">Contrast trimmer tolerance</t>
  </si>
  <si>
    <t xml:space="preserve">Conservative +/-20% trimmer tolerance.</t>
  </si>
  <si>
    <t xml:space="preserve">Status LED series resistor</t>
  </si>
  <si>
    <t xml:space="preserve">2.2k ohm, 1%, one per LED. Zero LED forward drop assumed for a worst-case bound.</t>
  </si>
  <si>
    <t xml:space="preserve">Number of status LEDs</t>
  </si>
  <si>
    <t xml:space="preserve">Dispensing, Done, Fault.</t>
  </si>
  <si>
    <t xml:space="preserve">Number of buttons with pull-ups</t>
  </si>
  <si>
    <t xml:space="preserve">UP, DOWN, START, STOP. Worst case: all pressed.</t>
  </si>
  <si>
    <t xml:space="preserve">I2C pull-up resistor</t>
  </si>
  <si>
    <t xml:space="preserve">One 4.7k ohm pull-up each on SDA and SCL, host board only. Worst case: both lines held low.</t>
  </si>
  <si>
    <t xml:space="preserve">Number of I2C pull-ups</t>
  </si>
  <si>
    <t xml:space="preserve">SDA and SCL.</t>
  </si>
  <si>
    <t xml:space="preserve">LCD E pull-down resistor</t>
  </si>
  <si>
    <t xml:space="preserve">100k ohm from E to GND. Draws current only while RC5 drives E high.</t>
  </si>
  <si>
    <t xml:space="preserve">Adapter cord and jack resistance, round trip</t>
  </si>
  <si>
    <t xml:space="preserve">Calculated estimate</t>
  </si>
  <si>
    <t xml:space="preserve">20 AWG, 6 ft cord: 2 x 1.83m x 33.3 mohm/m = 0.122 ohm, plus 0.030 ohm jack contact (PJ-102AH datasheet). Used only for the dropout check.</t>
  </si>
  <si>
    <t xml:space="preserve">https://www.sameskydevices.com/product/resource/pj-102ah.pdf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</si>
</sst>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General"/>
    <numFmt numFmtId="167" formatCode="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4364B"/>
      <name val="Arial"/>
      <family val="0"/>
      <charset val="1"/>
    </font>
    <font>
      <sz val="10"/>
      <color rgb="FF253342"/>
      <name val="Arial"/>
      <family val="0"/>
      <charset val="1"/>
    </font>
    <font>
      <b val="true"/>
      <sz val="10"/>
      <color rgb="FF2436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2617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6EF"/>
        <bgColor rgb="FFEDF2F6"/>
      </patternFill>
    </fill>
    <fill>
      <patternFill patternType="solid">
        <fgColor rgb="FF24364B"/>
        <bgColor rgb="FF253342"/>
      </patternFill>
    </fill>
    <fill>
      <patternFill patternType="solid">
        <fgColor rgb="FFF5F7F9"/>
        <bgColor rgb="FFEDF2F6"/>
      </patternFill>
    </fill>
    <fill>
      <patternFill patternType="solid">
        <fgColor rgb="FFEDF2F6"/>
        <bgColor rgb="FFF5F7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 diagonalUp="false" diagonalDown="false">
      <left style="thin">
        <color rgb="FFC9D3DD"/>
      </left>
      <right/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9"/>
      <rgbColor rgb="FFEDF2F6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170"/>
      <rgbColor rgb="FF969696"/>
      <rgbColor rgb="FF24364B"/>
      <rgbColor rgb="FF339966"/>
      <rgbColor rgb="FF003300"/>
      <rgbColor rgb="FF333300"/>
      <rgbColor rgb="FF993300"/>
      <rgbColor rgb="FF993366"/>
      <rgbColor rgb="FF333399"/>
      <rgbColor rgb="FF2533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364B"/>
    <pageSetUpPr fitToPage="true"/>
  </sheetPr>
  <dimension ref="B2:K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7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7" min="6" style="0" width="16"/>
    <col collapsed="false" customWidth="true" hidden="false" outlineLevel="0" max="8" min="8" style="0" width="7"/>
    <col collapsed="false" customWidth="true" hidden="false" outlineLevel="0" max="9" min="9" style="0" width="22"/>
    <col collapsed="false" customWidth="true" hidden="false" outlineLevel="0" max="10" min="10" style="0" width="7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true" outlineLevel="0" collapsed="false">
      <c r="B5" s="2" t="s">
        <v>3</v>
      </c>
      <c r="C5" s="2"/>
      <c r="D5" s="2"/>
      <c r="E5" s="2"/>
      <c r="F5" s="2"/>
      <c r="G5" s="2"/>
      <c r="H5" s="2"/>
      <c r="I5" s="2"/>
      <c r="J5" s="2"/>
      <c r="K5" s="2"/>
    </row>
    <row r="7" customFormat="false" ht="21.75" hidden="false" customHeight="true" outlineLevel="0" collapsed="false">
      <c r="B7" s="3" t="s">
        <v>4</v>
      </c>
      <c r="C7" s="3"/>
      <c r="D7" s="3"/>
      <c r="E7" s="3"/>
      <c r="F7" s="3"/>
      <c r="G7" s="3"/>
      <c r="H7" s="3"/>
      <c r="I7" s="3"/>
      <c r="J7" s="3"/>
      <c r="K7" s="3"/>
    </row>
    <row r="8" customFormat="false" ht="30" hidden="false" customHeight="true" outlineLevel="0" collapsed="false"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</row>
    <row r="9" customFormat="false" ht="94.5" hidden="false" customHeight="true" outlineLevel="0" collapsed="false">
      <c r="B9" s="5" t="s">
        <v>15</v>
      </c>
      <c r="C9" s="5" t="s">
        <v>16</v>
      </c>
      <c r="D9" s="5" t="s">
        <v>17</v>
      </c>
      <c r="E9" s="6" t="n">
        <v>1</v>
      </c>
      <c r="F9" s="7" t="n">
        <f aca="false">ROUNDUP(($G$100/$G$71+$G$101)/10,0)*10</f>
        <v>170</v>
      </c>
      <c r="G9" s="7" t="n">
        <f aca="false">E9*F9</f>
        <v>170</v>
      </c>
      <c r="H9" s="5" t="s">
        <v>18</v>
      </c>
      <c r="I9" s="5" t="s">
        <v>19</v>
      </c>
      <c r="J9" s="8" t="s">
        <v>20</v>
      </c>
      <c r="K9" s="8" t="s">
        <v>21</v>
      </c>
    </row>
    <row r="10" customFormat="false" ht="94.5" hidden="false" customHeight="true" outlineLevel="0" collapsed="false">
      <c r="B10" s="5" t="s">
        <v>22</v>
      </c>
      <c r="C10" s="5" t="s">
        <v>23</v>
      </c>
      <c r="D10" s="5" t="s">
        <v>24</v>
      </c>
      <c r="E10" s="6" t="n">
        <v>1</v>
      </c>
      <c r="F10" s="7" t="n">
        <f aca="false">ROUNDUP($G$103*$G$102+$G$72/($G$104*(1-$G$105))*1000,3)</f>
        <v>0.856</v>
      </c>
      <c r="G10" s="7" t="n">
        <f aca="false">E10*F10</f>
        <v>0.856</v>
      </c>
      <c r="H10" s="5" t="s">
        <v>18</v>
      </c>
      <c r="I10" s="5" t="s">
        <v>25</v>
      </c>
      <c r="J10" s="8" t="s">
        <v>26</v>
      </c>
      <c r="K10" s="8" t="s">
        <v>27</v>
      </c>
    </row>
    <row r="11" customFormat="false" ht="94.5" hidden="false" customHeight="true" outlineLevel="0" collapsed="false">
      <c r="B11" s="5" t="s">
        <v>28</v>
      </c>
      <c r="C11" s="5" t="s">
        <v>29</v>
      </c>
      <c r="D11" s="5" t="s">
        <v>30</v>
      </c>
      <c r="E11" s="6" t="n">
        <v>1</v>
      </c>
      <c r="F11" s="9" t="n">
        <v>3</v>
      </c>
      <c r="G11" s="7" t="n">
        <f aca="false">E11*F11</f>
        <v>3</v>
      </c>
      <c r="H11" s="5" t="s">
        <v>18</v>
      </c>
      <c r="I11" s="5" t="s">
        <v>31</v>
      </c>
      <c r="J11" s="8" t="s">
        <v>32</v>
      </c>
      <c r="K11" s="8" t="s">
        <v>33</v>
      </c>
    </row>
    <row r="12" customFormat="false" ht="94.5" hidden="false" customHeight="true" outlineLevel="0" collapsed="false">
      <c r="B12" s="5" t="s">
        <v>34</v>
      </c>
      <c r="C12" s="5" t="s">
        <v>29</v>
      </c>
      <c r="D12" s="5" t="s">
        <v>35</v>
      </c>
      <c r="E12" s="6" t="n">
        <v>1</v>
      </c>
      <c r="F12" s="9" t="n">
        <v>156</v>
      </c>
      <c r="G12" s="7" t="n">
        <f aca="false">E12*F12</f>
        <v>156</v>
      </c>
      <c r="H12" s="5" t="s">
        <v>18</v>
      </c>
      <c r="I12" s="5" t="s">
        <v>31</v>
      </c>
      <c r="J12" s="8" t="s">
        <v>36</v>
      </c>
      <c r="K12" s="8" t="s">
        <v>33</v>
      </c>
    </row>
    <row r="13" customFormat="false" ht="94.5" hidden="false" customHeight="true" outlineLevel="0" collapsed="false">
      <c r="B13" s="5" t="s">
        <v>37</v>
      </c>
      <c r="C13" s="5" t="s">
        <v>38</v>
      </c>
      <c r="D13" s="5" t="s">
        <v>39</v>
      </c>
      <c r="E13" s="6" t="n">
        <v>1</v>
      </c>
      <c r="F13" s="7" t="n">
        <f aca="false">ROUNDUP($G$72/($G$104*(1-$G$105))*1000,3)</f>
        <v>0.516</v>
      </c>
      <c r="G13" s="7" t="n">
        <f aca="false">E13*F13</f>
        <v>0.516</v>
      </c>
      <c r="H13" s="5" t="s">
        <v>18</v>
      </c>
      <c r="I13" s="5" t="s">
        <v>40</v>
      </c>
      <c r="J13" s="8" t="s">
        <v>41</v>
      </c>
      <c r="K13" s="8" t="s">
        <v>42</v>
      </c>
    </row>
    <row r="14" customFormat="false" ht="15" hidden="false" customHeight="true" outlineLevel="0" collapsed="false">
      <c r="B14" s="10" t="s">
        <v>43</v>
      </c>
      <c r="C14" s="10"/>
      <c r="D14" s="10"/>
      <c r="E14" s="10"/>
      <c r="F14" s="10"/>
      <c r="G14" s="11" t="n">
        <f aca="false">SUM(G9:G13)</f>
        <v>330.372</v>
      </c>
      <c r="H14" s="12" t="s">
        <v>18</v>
      </c>
    </row>
    <row r="15" customFormat="false" ht="43.5" hidden="false" customHeight="true" outlineLevel="0" collapsed="false">
      <c r="B15" s="13" t="s">
        <v>44</v>
      </c>
      <c r="C15" s="13"/>
      <c r="D15" s="13"/>
      <c r="E15" s="13"/>
      <c r="F15" s="13"/>
      <c r="G15" s="13"/>
      <c r="H15" s="13"/>
      <c r="I15" s="13"/>
      <c r="J15" s="13"/>
      <c r="K15" s="13"/>
    </row>
    <row r="17" customFormat="false" ht="21.75" hidden="false" customHeight="true" outlineLevel="0" collapsed="false">
      <c r="B17" s="3" t="s">
        <v>45</v>
      </c>
      <c r="C17" s="3"/>
      <c r="D17" s="3"/>
      <c r="E17" s="3"/>
      <c r="F17" s="3"/>
      <c r="G17" s="3"/>
      <c r="H17" s="3"/>
      <c r="I17" s="3"/>
      <c r="J17" s="3"/>
      <c r="K17" s="3"/>
    </row>
    <row r="18" customFormat="false" ht="30" hidden="false" customHeight="true" outlineLevel="0" collapsed="false">
      <c r="B18" s="4" t="s">
        <v>5</v>
      </c>
      <c r="C18" s="4" t="s">
        <v>6</v>
      </c>
      <c r="D18" s="4" t="s">
        <v>7</v>
      </c>
      <c r="E18" s="4" t="s">
        <v>8</v>
      </c>
      <c r="F18" s="4" t="s">
        <v>9</v>
      </c>
      <c r="G18" s="4" t="s">
        <v>10</v>
      </c>
      <c r="H18" s="4" t="s">
        <v>11</v>
      </c>
      <c r="I18" s="4" t="s">
        <v>12</v>
      </c>
      <c r="J18" s="4" t="s">
        <v>13</v>
      </c>
      <c r="K18" s="4" t="s">
        <v>14</v>
      </c>
    </row>
    <row r="19" customFormat="false" ht="30" hidden="false" customHeight="true" outlineLevel="0" collapsed="false">
      <c r="B19" s="5" t="str">
        <f aca="false">B9</f>
        <v>Curiosity Nano: PIC18F57Q43 plus board target circuits</v>
      </c>
      <c r="C19" s="5" t="str">
        <f aca="false">C9</f>
        <v>DM164150 (PIC18F57Q43)</v>
      </c>
      <c r="D19" s="5" t="str">
        <f aca="false">D9</f>
        <v>1.8 to 5.5V; 5V used</v>
      </c>
      <c r="E19" s="14" t="n">
        <f aca="false">E9</f>
        <v>1</v>
      </c>
      <c r="F19" s="7" t="n">
        <f aca="false">F9</f>
        <v>170</v>
      </c>
      <c r="G19" s="7" t="n">
        <f aca="false">G9</f>
        <v>170</v>
      </c>
      <c r="H19" s="5" t="s">
        <v>18</v>
      </c>
      <c r="I19" s="5" t="str">
        <f aca="false">I9</f>
        <v>Derived ceiling</v>
      </c>
      <c r="J19" s="8" t="s">
        <v>46</v>
      </c>
    </row>
    <row r="20" customFormat="false" ht="30" hidden="false" customHeight="true" outlineLevel="0" collapsed="false">
      <c r="B20" s="5" t="str">
        <f aca="false">B10</f>
        <v>Dual op amp, both channels plus feedback load</v>
      </c>
      <c r="C20" s="5" t="str">
        <f aca="false">C10</f>
        <v>MCP6002-I/P</v>
      </c>
      <c r="D20" s="5" t="str">
        <f aca="false">D10</f>
        <v>1.8 to 6.0V; 5V used</v>
      </c>
      <c r="E20" s="14" t="n">
        <f aca="false">E10</f>
        <v>1</v>
      </c>
      <c r="F20" s="7" t="n">
        <f aca="false">F10</f>
        <v>0.856</v>
      </c>
      <c r="G20" s="7" t="n">
        <f aca="false">G10</f>
        <v>0.856</v>
      </c>
      <c r="H20" s="5" t="s">
        <v>18</v>
      </c>
      <c r="I20" s="5" t="str">
        <f aca="false">I10</f>
        <v>Datasheet max + calculated</v>
      </c>
      <c r="J20" s="8" t="s">
        <v>46</v>
      </c>
    </row>
    <row r="21" customFormat="false" ht="30" hidden="false" customHeight="true" outlineLevel="0" collapsed="false">
      <c r="B21" s="5" t="str">
        <f aca="false">B11</f>
        <v>LCD logic, including its built-in ST7066U controller</v>
      </c>
      <c r="C21" s="5" t="str">
        <f aca="false">C11</f>
        <v>NHD-0216K1Z-FL-YBW</v>
      </c>
      <c r="D21" s="5" t="str">
        <f aca="false">D11</f>
        <v>4.5 to 5.5V; 5V used</v>
      </c>
      <c r="E21" s="14" t="n">
        <f aca="false">E11</f>
        <v>1</v>
      </c>
      <c r="F21" s="7" t="n">
        <f aca="false">F11</f>
        <v>3</v>
      </c>
      <c r="G21" s="7" t="n">
        <f aca="false">G11</f>
        <v>3</v>
      </c>
      <c r="H21" s="5" t="s">
        <v>18</v>
      </c>
      <c r="I21" s="5" t="str">
        <f aca="false">I11</f>
        <v>Datasheet max</v>
      </c>
      <c r="J21" s="8" t="s">
        <v>46</v>
      </c>
    </row>
    <row r="22" customFormat="false" ht="30" hidden="false" customHeight="true" outlineLevel="0" collapsed="false">
      <c r="B22" s="5" t="str">
        <f aca="false">B12</f>
        <v>LCD backlight at full brightness</v>
      </c>
      <c r="C22" s="5" t="str">
        <f aca="false">C12</f>
        <v>NHD-0216K1Z-FL-YBW</v>
      </c>
      <c r="D22" s="5" t="str">
        <f aca="false">D12</f>
        <v>4.9 to 5.1V; 5V used</v>
      </c>
      <c r="E22" s="14" t="n">
        <f aca="false">E12</f>
        <v>1</v>
      </c>
      <c r="F22" s="7" t="n">
        <f aca="false">F12</f>
        <v>156</v>
      </c>
      <c r="G22" s="7" t="n">
        <f aca="false">G12</f>
        <v>156</v>
      </c>
      <c r="H22" s="5" t="s">
        <v>18</v>
      </c>
      <c r="I22" s="5" t="str">
        <f aca="false">I12</f>
        <v>Datasheet max</v>
      </c>
      <c r="J22" s="8" t="s">
        <v>46</v>
      </c>
    </row>
    <row r="23" customFormat="false" ht="30" hidden="false" customHeight="true" outlineLevel="0" collapsed="false">
      <c r="B23" s="5" t="str">
        <f aca="false">B13</f>
        <v>LDR cup-sensor divider</v>
      </c>
      <c r="C23" s="5" t="str">
        <f aca="false">C13</f>
        <v>PDV-P8103 + 10k ohm 1%</v>
      </c>
      <c r="D23" s="5" t="str">
        <f aca="false">D13</f>
        <v>5V used; cell rated 150V</v>
      </c>
      <c r="E23" s="14" t="n">
        <f aca="false">E13</f>
        <v>1</v>
      </c>
      <c r="F23" s="7" t="n">
        <f aca="false">F13</f>
        <v>0.516</v>
      </c>
      <c r="G23" s="7" t="n">
        <f aca="false">G13</f>
        <v>0.516</v>
      </c>
      <c r="H23" s="5" t="s">
        <v>18</v>
      </c>
      <c r="I23" s="5" t="str">
        <f aca="false">I13</f>
        <v>Calculated bound</v>
      </c>
      <c r="J23" s="8" t="s">
        <v>46</v>
      </c>
    </row>
    <row r="24" customFormat="false" ht="30" hidden="false" customHeight="true" outlineLevel="0" collapsed="false">
      <c r="B24" s="5" t="s">
        <v>47</v>
      </c>
      <c r="C24" s="5" t="s">
        <v>48</v>
      </c>
      <c r="D24" s="5" t="s">
        <v>49</v>
      </c>
      <c r="E24" s="6" t="n">
        <v>1</v>
      </c>
      <c r="F24" s="7" t="n">
        <f aca="false">ROUNDUP($G$72/(2*$G$104*(1-$G$105))*1000,3)</f>
        <v>0.258</v>
      </c>
      <c r="G24" s="7" t="n">
        <f aca="false">E24*F24</f>
        <v>0.258</v>
      </c>
      <c r="H24" s="5" t="s">
        <v>18</v>
      </c>
      <c r="I24" s="5" t="s">
        <v>40</v>
      </c>
      <c r="J24" s="8" t="s">
        <v>50</v>
      </c>
    </row>
    <row r="25" customFormat="false" ht="30" hidden="false" customHeight="true" outlineLevel="0" collapsed="false">
      <c r="B25" s="5" t="s">
        <v>51</v>
      </c>
      <c r="C25" s="5" t="s">
        <v>52</v>
      </c>
      <c r="D25" s="5" t="s">
        <v>49</v>
      </c>
      <c r="E25" s="6" t="n">
        <v>1</v>
      </c>
      <c r="F25" s="7" t="n">
        <f aca="false">ROUNDUP($G$72/($G$113*(1-$G$105))*1000,3)</f>
        <v>0.052</v>
      </c>
      <c r="G25" s="7" t="n">
        <f aca="false">E25*F25</f>
        <v>0.052</v>
      </c>
      <c r="H25" s="5" t="s">
        <v>18</v>
      </c>
      <c r="I25" s="5" t="s">
        <v>40</v>
      </c>
      <c r="J25" s="8" t="s">
        <v>53</v>
      </c>
    </row>
    <row r="26" customFormat="false" ht="30" hidden="false" customHeight="true" outlineLevel="0" collapsed="false">
      <c r="B26" s="5" t="s">
        <v>54</v>
      </c>
      <c r="C26" s="5" t="s">
        <v>55</v>
      </c>
      <c r="D26" s="5" t="s">
        <v>49</v>
      </c>
      <c r="E26" s="6" t="n">
        <v>1</v>
      </c>
      <c r="F26" s="7" t="n">
        <f aca="false">ROUNDUP($G$72/($G$106*(1-$G$107))*1000,3)</f>
        <v>0.638</v>
      </c>
      <c r="G26" s="7" t="n">
        <f aca="false">E26*F26</f>
        <v>0.638</v>
      </c>
      <c r="H26" s="5" t="s">
        <v>18</v>
      </c>
      <c r="I26" s="5" t="s">
        <v>40</v>
      </c>
      <c r="J26" s="8" t="s">
        <v>56</v>
      </c>
    </row>
    <row r="27" customFormat="false" ht="30" hidden="false" customHeight="true" outlineLevel="0" collapsed="false">
      <c r="B27" s="5" t="s">
        <v>57</v>
      </c>
      <c r="C27" s="5" t="s">
        <v>58</v>
      </c>
      <c r="D27" s="5" t="s">
        <v>49</v>
      </c>
      <c r="E27" s="6" t="n">
        <v>1</v>
      </c>
      <c r="F27" s="7" t="n">
        <f aca="false">$G$109*ROUNDUP($G$72/($G$108*(1-$G$105))*1000,3)</f>
        <v>7.026</v>
      </c>
      <c r="G27" s="7" t="n">
        <f aca="false">E27*F27</f>
        <v>7.026</v>
      </c>
      <c r="H27" s="5" t="s">
        <v>18</v>
      </c>
      <c r="I27" s="5" t="s">
        <v>40</v>
      </c>
      <c r="J27" s="8" t="s">
        <v>59</v>
      </c>
    </row>
    <row r="28" customFormat="false" ht="30" hidden="false" customHeight="true" outlineLevel="0" collapsed="false">
      <c r="B28" s="5" t="s">
        <v>60</v>
      </c>
      <c r="C28" s="5" t="s">
        <v>61</v>
      </c>
      <c r="D28" s="5" t="s">
        <v>49</v>
      </c>
      <c r="E28" s="6" t="n">
        <v>1</v>
      </c>
      <c r="F28" s="7" t="n">
        <f aca="false">ROUNDUP($G$110*$G$72/($G$104*(1-$G$105))*1000,3)</f>
        <v>2.061</v>
      </c>
      <c r="G28" s="7" t="n">
        <f aca="false">E28*F28</f>
        <v>2.061</v>
      </c>
      <c r="H28" s="5" t="s">
        <v>18</v>
      </c>
      <c r="I28" s="5" t="s">
        <v>40</v>
      </c>
      <c r="J28" s="8" t="s">
        <v>62</v>
      </c>
    </row>
    <row r="29" customFormat="false" ht="30" hidden="false" customHeight="true" outlineLevel="0" collapsed="false">
      <c r="B29" s="5" t="s">
        <v>63</v>
      </c>
      <c r="C29" s="5" t="s">
        <v>64</v>
      </c>
      <c r="D29" s="5" t="s">
        <v>49</v>
      </c>
      <c r="E29" s="6" t="n">
        <v>1</v>
      </c>
      <c r="F29" s="7" t="n">
        <f aca="false">ROUNDUP($G$112*$G$72/($G$111*(1-$G$105))*1000,3)</f>
        <v>2.193</v>
      </c>
      <c r="G29" s="7" t="n">
        <f aca="false">E29*F29</f>
        <v>2.193</v>
      </c>
      <c r="H29" s="5" t="s">
        <v>18</v>
      </c>
      <c r="I29" s="5" t="s">
        <v>40</v>
      </c>
      <c r="J29" s="8" t="s">
        <v>65</v>
      </c>
    </row>
    <row r="30" customFormat="false" ht="15" hidden="false" customHeight="true" outlineLevel="0" collapsed="false">
      <c r="B30" s="15" t="s">
        <v>66</v>
      </c>
      <c r="C30" s="15"/>
      <c r="D30" s="15"/>
      <c r="E30" s="15"/>
      <c r="F30" s="15"/>
      <c r="G30" s="11" t="n">
        <f aca="false">SUM(G19:G29)</f>
        <v>342.6</v>
      </c>
      <c r="H30" s="16" t="s">
        <v>18</v>
      </c>
    </row>
    <row r="31" customFormat="false" ht="15" hidden="false" customHeight="true" outlineLevel="0" collapsed="false">
      <c r="B31" s="2" t="s">
        <v>67</v>
      </c>
      <c r="C31" s="2"/>
      <c r="D31" s="2"/>
      <c r="E31" s="2"/>
      <c r="F31" s="2"/>
      <c r="G31" s="17" t="n">
        <v>0.25</v>
      </c>
      <c r="H31" s="16"/>
      <c r="J31" s="16" t="s">
        <v>68</v>
      </c>
    </row>
    <row r="32" customFormat="false" ht="15" hidden="false" customHeight="true" outlineLevel="0" collapsed="false">
      <c r="B32" s="15" t="s">
        <v>69</v>
      </c>
      <c r="C32" s="15"/>
      <c r="D32" s="15"/>
      <c r="E32" s="15"/>
      <c r="F32" s="15"/>
      <c r="G32" s="11" t="n">
        <f aca="false">ROUNDUP(G30*(1+G31),3)</f>
        <v>428.25</v>
      </c>
      <c r="H32" s="16" t="s">
        <v>18</v>
      </c>
    </row>
    <row r="33" customFormat="false" ht="15" hidden="false" customHeight="true" outlineLevel="0" collapsed="false">
      <c r="B33" s="2" t="s">
        <v>70</v>
      </c>
      <c r="C33" s="2"/>
      <c r="D33" s="2"/>
      <c r="E33" s="2"/>
      <c r="F33" s="2"/>
      <c r="G33" s="18" t="n">
        <f aca="false">G32*$G$70/1000</f>
        <v>2.14125</v>
      </c>
      <c r="H33" s="16" t="s">
        <v>71</v>
      </c>
    </row>
    <row r="35" customFormat="false" ht="21.75" hidden="false" customHeight="true" outlineLevel="0" collapsed="false">
      <c r="B35" s="3" t="s">
        <v>72</v>
      </c>
      <c r="C35" s="3"/>
      <c r="D35" s="3"/>
      <c r="E35" s="3"/>
      <c r="F35" s="3"/>
      <c r="G35" s="3"/>
      <c r="H35" s="3"/>
      <c r="I35" s="3"/>
      <c r="J35" s="3"/>
      <c r="K35" s="3"/>
    </row>
    <row r="36" customFormat="false" ht="30" hidden="false" customHeight="true" outlineLevel="0" collapsed="false">
      <c r="B36" s="4" t="s">
        <v>5</v>
      </c>
      <c r="C36" s="4" t="s">
        <v>6</v>
      </c>
      <c r="D36" s="4" t="s">
        <v>7</v>
      </c>
      <c r="E36" s="4" t="s">
        <v>8</v>
      </c>
      <c r="F36" s="4" t="s">
        <v>9</v>
      </c>
      <c r="G36" s="4" t="s">
        <v>10</v>
      </c>
      <c r="H36" s="4" t="s">
        <v>11</v>
      </c>
      <c r="I36" s="4" t="s">
        <v>12</v>
      </c>
      <c r="J36" s="4" t="s">
        <v>13</v>
      </c>
      <c r="K36" s="4" t="s">
        <v>14</v>
      </c>
    </row>
    <row r="37" customFormat="false" ht="30" hidden="false" customHeight="true" outlineLevel="0" collapsed="false">
      <c r="B37" s="5" t="s">
        <v>73</v>
      </c>
      <c r="C37" s="5" t="s">
        <v>74</v>
      </c>
      <c r="D37" s="5" t="s">
        <v>75</v>
      </c>
      <c r="E37" s="6" t="n">
        <v>1</v>
      </c>
      <c r="F37" s="9" t="n">
        <v>1500</v>
      </c>
      <c r="G37" s="7" t="n">
        <f aca="false">E37*F37</f>
        <v>1500</v>
      </c>
      <c r="H37" s="5" t="s">
        <v>18</v>
      </c>
      <c r="I37" s="5" t="s">
        <v>76</v>
      </c>
      <c r="J37" s="8" t="s">
        <v>77</v>
      </c>
      <c r="K37" s="8" t="s">
        <v>78</v>
      </c>
    </row>
    <row r="38" customFormat="false" ht="15" hidden="false" customHeight="true" outlineLevel="0" collapsed="false">
      <c r="B38" s="2" t="s">
        <v>79</v>
      </c>
      <c r="C38" s="2"/>
      <c r="D38" s="2"/>
      <c r="E38" s="2"/>
      <c r="F38" s="2"/>
      <c r="G38" s="18" t="n">
        <f aca="false">G32</f>
        <v>428.25</v>
      </c>
      <c r="H38" s="16" t="s">
        <v>18</v>
      </c>
    </row>
    <row r="39" customFormat="false" ht="15" hidden="false" customHeight="true" outlineLevel="0" collapsed="false">
      <c r="B39" s="15" t="s">
        <v>80</v>
      </c>
      <c r="C39" s="15"/>
      <c r="D39" s="15"/>
      <c r="E39" s="15"/>
      <c r="F39" s="15"/>
      <c r="G39" s="11" t="n">
        <f aca="false">G37-G38</f>
        <v>1071.75</v>
      </c>
      <c r="H39" s="16" t="s">
        <v>18</v>
      </c>
    </row>
    <row r="40" customFormat="false" ht="15" hidden="false" customHeight="true" outlineLevel="0" collapsed="false">
      <c r="B40" s="2" t="s">
        <v>81</v>
      </c>
      <c r="C40" s="2"/>
      <c r="D40" s="2"/>
      <c r="E40" s="2"/>
      <c r="F40" s="2"/>
      <c r="G40" s="18" t="n">
        <f aca="false">$G$88</f>
        <v>1220</v>
      </c>
      <c r="H40" s="16" t="s">
        <v>18</v>
      </c>
    </row>
    <row r="41" customFormat="false" ht="15" hidden="false" customHeight="true" outlineLevel="0" collapsed="false">
      <c r="B41" s="15" t="s">
        <v>82</v>
      </c>
      <c r="C41" s="15"/>
      <c r="D41" s="15"/>
      <c r="E41" s="15"/>
      <c r="F41" s="15"/>
      <c r="G41" s="11" t="n">
        <f aca="false">G40-G32</f>
        <v>791.75</v>
      </c>
      <c r="H41" s="16" t="s">
        <v>18</v>
      </c>
    </row>
    <row r="43" customFormat="false" ht="21.75" hidden="false" customHeight="true" outlineLevel="0" collapsed="false">
      <c r="B43" s="3" t="s">
        <v>83</v>
      </c>
      <c r="C43" s="3"/>
      <c r="D43" s="3"/>
      <c r="E43" s="3"/>
      <c r="F43" s="3"/>
      <c r="G43" s="3"/>
      <c r="H43" s="3"/>
      <c r="I43" s="3"/>
      <c r="J43" s="3"/>
      <c r="K43" s="3"/>
    </row>
    <row r="44" customFormat="false" ht="30" hidden="false" customHeight="true" outlineLevel="0" collapsed="false">
      <c r="B44" s="4" t="s">
        <v>5</v>
      </c>
      <c r="C44" s="4" t="s">
        <v>6</v>
      </c>
      <c r="D44" s="4" t="s">
        <v>84</v>
      </c>
      <c r="E44" s="4" t="s">
        <v>85</v>
      </c>
      <c r="F44" s="4" t="s">
        <v>86</v>
      </c>
      <c r="G44" s="4" t="s">
        <v>87</v>
      </c>
      <c r="H44" s="4" t="s">
        <v>11</v>
      </c>
      <c r="I44" s="4" t="s">
        <v>12</v>
      </c>
      <c r="J44" s="4" t="s">
        <v>13</v>
      </c>
      <c r="K44" s="4" t="s">
        <v>14</v>
      </c>
    </row>
    <row r="45" customFormat="false" ht="43.5" hidden="false" customHeight="true" outlineLevel="0" collapsed="false">
      <c r="B45" s="5" t="s">
        <v>88</v>
      </c>
      <c r="C45" s="5" t="s">
        <v>89</v>
      </c>
      <c r="D45" s="5" t="s">
        <v>90</v>
      </c>
      <c r="E45" s="6" t="n">
        <v>9</v>
      </c>
      <c r="F45" s="9" t="n">
        <v>2000</v>
      </c>
      <c r="G45" s="7" t="n">
        <f aca="false">F45</f>
        <v>2000</v>
      </c>
      <c r="H45" s="5" t="s">
        <v>18</v>
      </c>
      <c r="I45" s="5" t="s">
        <v>76</v>
      </c>
      <c r="J45" s="8" t="s">
        <v>91</v>
      </c>
      <c r="K45" s="8" t="s">
        <v>92</v>
      </c>
    </row>
    <row r="46" customFormat="false" ht="15" hidden="false" customHeight="true" outlineLevel="0" collapsed="false">
      <c r="B46" s="2" t="s">
        <v>93</v>
      </c>
      <c r="C46" s="2"/>
      <c r="D46" s="2"/>
      <c r="E46" s="2"/>
      <c r="F46" s="2"/>
      <c r="G46" s="18" t="n">
        <f aca="false">G37</f>
        <v>1500</v>
      </c>
      <c r="H46" s="16" t="s">
        <v>18</v>
      </c>
    </row>
    <row r="47" customFormat="false" ht="15" hidden="false" customHeight="true" outlineLevel="0" collapsed="false">
      <c r="B47" s="15" t="s">
        <v>94</v>
      </c>
      <c r="C47" s="15"/>
      <c r="D47" s="15"/>
      <c r="E47" s="15"/>
      <c r="F47" s="15"/>
      <c r="G47" s="11" t="n">
        <f aca="false">G45-G46</f>
        <v>500</v>
      </c>
      <c r="H47" s="16" t="s">
        <v>18</v>
      </c>
    </row>
    <row r="48" customFormat="false" ht="15" hidden="false" customHeight="true" outlineLevel="0" collapsed="false">
      <c r="B48" s="2" t="s">
        <v>95</v>
      </c>
      <c r="C48" s="2"/>
      <c r="D48" s="2"/>
      <c r="E48" s="2"/>
      <c r="F48" s="2"/>
      <c r="G48" s="18" t="n">
        <f aca="false">G32</f>
        <v>428.25</v>
      </c>
      <c r="H48" s="16" t="s">
        <v>18</v>
      </c>
    </row>
    <row r="49" customFormat="false" ht="15" hidden="false" customHeight="true" outlineLevel="0" collapsed="false">
      <c r="B49" s="2" t="s">
        <v>96</v>
      </c>
      <c r="C49" s="2"/>
      <c r="D49" s="2"/>
      <c r="E49" s="2"/>
      <c r="F49" s="2"/>
      <c r="G49" s="19" t="n">
        <v>10</v>
      </c>
      <c r="H49" s="16" t="s">
        <v>18</v>
      </c>
      <c r="I49" s="16" t="s">
        <v>31</v>
      </c>
      <c r="J49" s="16" t="s">
        <v>97</v>
      </c>
      <c r="K49" s="16" t="s">
        <v>78</v>
      </c>
    </row>
    <row r="50" customFormat="false" ht="15" hidden="false" customHeight="true" outlineLevel="0" collapsed="false">
      <c r="B50" s="15" t="s">
        <v>98</v>
      </c>
      <c r="C50" s="15"/>
      <c r="D50" s="15"/>
      <c r="E50" s="15"/>
      <c r="F50" s="15"/>
      <c r="G50" s="11" t="n">
        <f aca="false">G48+G49</f>
        <v>438.25</v>
      </c>
      <c r="H50" s="16" t="s">
        <v>18</v>
      </c>
    </row>
    <row r="51" customFormat="false" ht="15" hidden="false" customHeight="true" outlineLevel="0" collapsed="false">
      <c r="B51" s="15" t="s">
        <v>99</v>
      </c>
      <c r="C51" s="15"/>
      <c r="D51" s="15"/>
      <c r="E51" s="15"/>
      <c r="F51" s="15"/>
      <c r="G51" s="11" t="n">
        <f aca="false">G45-G50</f>
        <v>1561.75</v>
      </c>
      <c r="H51" s="16" t="s">
        <v>18</v>
      </c>
    </row>
    <row r="52" customFormat="false" ht="15" hidden="false" customHeight="true" outlineLevel="0" collapsed="false">
      <c r="B52" s="2" t="s">
        <v>100</v>
      </c>
      <c r="C52" s="2"/>
      <c r="D52" s="2"/>
      <c r="E52" s="2"/>
      <c r="F52" s="2"/>
      <c r="G52" s="18" t="n">
        <f aca="false">E45*G50/1000</f>
        <v>3.94425</v>
      </c>
      <c r="H52" s="16" t="s">
        <v>71</v>
      </c>
    </row>
    <row r="54" customFormat="false" ht="21.75" hidden="false" customHeight="true" outlineLevel="0" collapsed="false">
      <c r="B54" s="3" t="s">
        <v>101</v>
      </c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B55" s="2" t="s">
        <v>102</v>
      </c>
      <c r="C55" s="2"/>
      <c r="D55" s="2"/>
      <c r="E55" s="2"/>
      <c r="F55" s="2"/>
      <c r="G55" s="8" t="s">
        <v>103</v>
      </c>
      <c r="H55" s="16"/>
      <c r="J55" s="16" t="s">
        <v>104</v>
      </c>
    </row>
    <row r="56" customFormat="false" ht="15" hidden="false" customHeight="true" outlineLevel="0" collapsed="false">
      <c r="B56" s="2" t="s">
        <v>105</v>
      </c>
      <c r="C56" s="2"/>
      <c r="D56" s="2"/>
      <c r="E56" s="2"/>
      <c r="F56" s="2"/>
      <c r="G56" s="8" t="s">
        <v>103</v>
      </c>
      <c r="H56" s="16"/>
    </row>
    <row r="57" customFormat="false" ht="15" hidden="false" customHeight="true" outlineLevel="0" collapsed="false">
      <c r="B57" s="2" t="s">
        <v>106</v>
      </c>
      <c r="C57" s="2"/>
      <c r="D57" s="2"/>
      <c r="E57" s="2"/>
      <c r="F57" s="2"/>
      <c r="G57" s="8" t="s">
        <v>103</v>
      </c>
      <c r="H57" s="16"/>
    </row>
    <row r="64" customFormat="false" ht="21.75" hidden="false" customHeight="true" outlineLevel="0" collapsed="false">
      <c r="B64" s="3" t="s">
        <v>107</v>
      </c>
      <c r="C64" s="3"/>
      <c r="D64" s="3"/>
      <c r="E64" s="3"/>
      <c r="F64" s="3"/>
      <c r="G64" s="3"/>
      <c r="H64" s="3"/>
      <c r="I64" s="3"/>
      <c r="J64" s="3"/>
      <c r="K64" s="3"/>
    </row>
    <row r="65" customFormat="false" ht="21.75" hidden="false" customHeight="true" outlineLevel="0" collapsed="false">
      <c r="B65" s="3" t="s">
        <v>108</v>
      </c>
      <c r="C65" s="3"/>
      <c r="D65" s="3"/>
      <c r="E65" s="3"/>
      <c r="F65" s="3"/>
      <c r="G65" s="3"/>
      <c r="H65" s="3"/>
      <c r="I65" s="3"/>
      <c r="J65" s="3"/>
      <c r="K65" s="3"/>
    </row>
    <row r="66" customFormat="false" ht="30" hidden="false" customHeight="true" outlineLevel="0" collapsed="false">
      <c r="B66" s="2" t="s">
        <v>109</v>
      </c>
      <c r="C66" s="2"/>
      <c r="D66" s="2"/>
      <c r="E66" s="2"/>
      <c r="F66" s="2"/>
      <c r="G66" s="18" t="n">
        <f aca="false">E45</f>
        <v>9</v>
      </c>
      <c r="H66" s="16" t="s">
        <v>110</v>
      </c>
    </row>
    <row r="67" customFormat="false" ht="30" hidden="false" customHeight="true" outlineLevel="0" collapsed="false">
      <c r="B67" s="2" t="s">
        <v>111</v>
      </c>
      <c r="C67" s="2"/>
      <c r="D67" s="2"/>
      <c r="E67" s="2"/>
      <c r="F67" s="2"/>
      <c r="G67" s="17" t="n">
        <v>0.05</v>
      </c>
      <c r="H67" s="16"/>
      <c r="I67" s="16" t="s">
        <v>31</v>
      </c>
      <c r="J67" s="16" t="s">
        <v>112</v>
      </c>
      <c r="K67" s="16" t="s">
        <v>92</v>
      </c>
    </row>
    <row r="68" customFormat="false" ht="30" hidden="false" customHeight="true" outlineLevel="0" collapsed="false">
      <c r="B68" s="2" t="s">
        <v>113</v>
      </c>
      <c r="C68" s="2"/>
      <c r="D68" s="2"/>
      <c r="E68" s="2"/>
      <c r="F68" s="2"/>
      <c r="G68" s="18" t="n">
        <f aca="false">G66*(1+G67)</f>
        <v>9.45</v>
      </c>
      <c r="H68" s="16" t="s">
        <v>110</v>
      </c>
    </row>
    <row r="69" customFormat="false" ht="30" hidden="false" customHeight="true" outlineLevel="0" collapsed="false">
      <c r="B69" s="2" t="s">
        <v>114</v>
      </c>
      <c r="C69" s="2"/>
      <c r="D69" s="2"/>
      <c r="E69" s="2"/>
      <c r="F69" s="2"/>
      <c r="G69" s="18" t="n">
        <f aca="false">G66*(1-G67)</f>
        <v>8.55</v>
      </c>
      <c r="H69" s="16" t="s">
        <v>110</v>
      </c>
    </row>
    <row r="70" customFormat="false" ht="30" hidden="false" customHeight="true" outlineLevel="0" collapsed="false">
      <c r="B70" s="2" t="s">
        <v>115</v>
      </c>
      <c r="C70" s="2"/>
      <c r="D70" s="2"/>
      <c r="E70" s="2"/>
      <c r="F70" s="2"/>
      <c r="G70" s="19" t="n">
        <v>5</v>
      </c>
      <c r="H70" s="16" t="s">
        <v>110</v>
      </c>
      <c r="I70" s="16" t="s">
        <v>116</v>
      </c>
      <c r="J70" s="16" t="s">
        <v>117</v>
      </c>
      <c r="K70" s="16" t="s">
        <v>78</v>
      </c>
    </row>
    <row r="71" customFormat="false" ht="30" hidden="false" customHeight="true" outlineLevel="0" collapsed="false">
      <c r="B71" s="2" t="s">
        <v>118</v>
      </c>
      <c r="C71" s="2"/>
      <c r="D71" s="2"/>
      <c r="E71" s="2"/>
      <c r="F71" s="2"/>
      <c r="G71" s="19" t="n">
        <v>4.9</v>
      </c>
      <c r="H71" s="16" t="s">
        <v>110</v>
      </c>
      <c r="I71" s="16" t="s">
        <v>119</v>
      </c>
      <c r="J71" s="16" t="s">
        <v>120</v>
      </c>
      <c r="K71" s="16" t="s">
        <v>78</v>
      </c>
    </row>
    <row r="72" customFormat="false" ht="30" hidden="false" customHeight="true" outlineLevel="0" collapsed="false">
      <c r="B72" s="2" t="s">
        <v>121</v>
      </c>
      <c r="C72" s="2"/>
      <c r="D72" s="2"/>
      <c r="E72" s="2"/>
      <c r="F72" s="2"/>
      <c r="G72" s="19" t="n">
        <v>5.1</v>
      </c>
      <c r="H72" s="16" t="s">
        <v>110</v>
      </c>
      <c r="I72" s="16" t="s">
        <v>31</v>
      </c>
      <c r="J72" s="16" t="s">
        <v>122</v>
      </c>
      <c r="K72" s="16" t="s">
        <v>78</v>
      </c>
    </row>
    <row r="73" customFormat="false" ht="30" hidden="false" customHeight="true" outlineLevel="0" collapsed="false">
      <c r="B73" s="2" t="s">
        <v>123</v>
      </c>
      <c r="C73" s="2"/>
      <c r="D73" s="2"/>
      <c r="E73" s="2"/>
      <c r="F73" s="2"/>
      <c r="G73" s="19" t="n">
        <v>0.15</v>
      </c>
      <c r="H73" s="16" t="s">
        <v>110</v>
      </c>
      <c r="I73" s="16" t="s">
        <v>31</v>
      </c>
      <c r="J73" s="16" t="s">
        <v>124</v>
      </c>
      <c r="K73" s="16" t="s">
        <v>92</v>
      </c>
    </row>
    <row r="74" customFormat="false" ht="30" hidden="false" customHeight="true" outlineLevel="0" collapsed="false">
      <c r="B74" s="2" t="s">
        <v>125</v>
      </c>
      <c r="C74" s="2"/>
      <c r="D74" s="2"/>
      <c r="E74" s="2"/>
      <c r="F74" s="2"/>
      <c r="G74" s="19" t="n">
        <v>1.5</v>
      </c>
      <c r="H74" s="16" t="s">
        <v>110</v>
      </c>
      <c r="I74" s="16" t="s">
        <v>31</v>
      </c>
      <c r="J74" s="16" t="s">
        <v>126</v>
      </c>
      <c r="K74" s="16" t="s">
        <v>78</v>
      </c>
    </row>
    <row r="75" customFormat="false" ht="30" hidden="false" customHeight="true" outlineLevel="0" collapsed="false">
      <c r="B75" s="2" t="s">
        <v>127</v>
      </c>
      <c r="C75" s="2"/>
      <c r="D75" s="2"/>
      <c r="E75" s="2"/>
      <c r="F75" s="2"/>
      <c r="G75" s="18" t="n">
        <f aca="false">G69-G73/2-$G$114*G50/1000</f>
        <v>8.408386</v>
      </c>
      <c r="H75" s="16" t="s">
        <v>110</v>
      </c>
      <c r="I75" s="16" t="s">
        <v>128</v>
      </c>
    </row>
    <row r="76" customFormat="false" ht="30" hidden="false" customHeight="true" outlineLevel="0" collapsed="false">
      <c r="B76" s="2" t="s">
        <v>129</v>
      </c>
      <c r="C76" s="2"/>
      <c r="D76" s="2"/>
      <c r="E76" s="2"/>
      <c r="F76" s="2"/>
      <c r="G76" s="18" t="n">
        <f aca="false">G72+G74</f>
        <v>6.6</v>
      </c>
      <c r="H76" s="16" t="s">
        <v>110</v>
      </c>
      <c r="I76" s="16" t="s">
        <v>128</v>
      </c>
      <c r="J76" s="16" t="s">
        <v>130</v>
      </c>
    </row>
    <row r="77" customFormat="false" ht="30" hidden="false" customHeight="true" outlineLevel="0" collapsed="false">
      <c r="B77" s="15" t="s">
        <v>131</v>
      </c>
      <c r="C77" s="15"/>
      <c r="D77" s="15"/>
      <c r="E77" s="15"/>
      <c r="F77" s="15"/>
      <c r="G77" s="11" t="n">
        <f aca="false">G75-G76</f>
        <v>1.808386</v>
      </c>
      <c r="H77" s="16" t="s">
        <v>110</v>
      </c>
      <c r="I77" s="16" t="s">
        <v>128</v>
      </c>
      <c r="J77" s="16" t="s">
        <v>132</v>
      </c>
    </row>
    <row r="78" customFormat="false" ht="21.75" hidden="false" customHeight="true" outlineLevel="0" collapsed="false">
      <c r="B78" s="3" t="s">
        <v>133</v>
      </c>
      <c r="C78" s="3"/>
      <c r="D78" s="3"/>
      <c r="E78" s="3"/>
      <c r="F78" s="3"/>
      <c r="G78" s="3"/>
      <c r="H78" s="3"/>
      <c r="I78" s="3"/>
      <c r="J78" s="3"/>
      <c r="K78" s="3"/>
    </row>
    <row r="79" customFormat="false" ht="30" hidden="false" customHeight="true" outlineLevel="0" collapsed="false">
      <c r="B79" s="2" t="s">
        <v>134</v>
      </c>
      <c r="C79" s="2"/>
      <c r="D79" s="2"/>
      <c r="E79" s="2"/>
      <c r="F79" s="2"/>
      <c r="G79" s="20" t="n">
        <v>40</v>
      </c>
      <c r="H79" s="16" t="s">
        <v>135</v>
      </c>
      <c r="I79" s="16" t="s">
        <v>136</v>
      </c>
      <c r="J79" s="16" t="s">
        <v>137</v>
      </c>
    </row>
    <row r="80" customFormat="false" ht="30" hidden="false" customHeight="true" outlineLevel="0" collapsed="false">
      <c r="B80" s="2" t="s">
        <v>138</v>
      </c>
      <c r="C80" s="2"/>
      <c r="D80" s="2"/>
      <c r="E80" s="2"/>
      <c r="F80" s="2"/>
      <c r="G80" s="20" t="n">
        <v>4</v>
      </c>
      <c r="H80" s="16" t="s">
        <v>139</v>
      </c>
      <c r="I80" s="16" t="s">
        <v>116</v>
      </c>
      <c r="J80" s="16" t="s">
        <v>140</v>
      </c>
      <c r="K80" s="16" t="s">
        <v>78</v>
      </c>
    </row>
    <row r="81" customFormat="false" ht="30" hidden="false" customHeight="true" outlineLevel="0" collapsed="false">
      <c r="B81" s="2" t="s">
        <v>141</v>
      </c>
      <c r="C81" s="2"/>
      <c r="D81" s="2"/>
      <c r="E81" s="2"/>
      <c r="F81" s="2"/>
      <c r="G81" s="20" t="n">
        <v>1</v>
      </c>
      <c r="H81" s="16" t="s">
        <v>139</v>
      </c>
      <c r="I81" s="16" t="s">
        <v>142</v>
      </c>
      <c r="J81" s="16" t="s">
        <v>143</v>
      </c>
      <c r="K81" s="16" t="s">
        <v>144</v>
      </c>
    </row>
    <row r="82" customFormat="false" ht="30" hidden="false" customHeight="true" outlineLevel="0" collapsed="false">
      <c r="B82" s="2" t="s">
        <v>145</v>
      </c>
      <c r="C82" s="2"/>
      <c r="D82" s="2"/>
      <c r="E82" s="2"/>
      <c r="F82" s="2"/>
      <c r="G82" s="20" t="n">
        <v>10</v>
      </c>
      <c r="H82" s="16" t="s">
        <v>139</v>
      </c>
      <c r="I82" s="16" t="s">
        <v>116</v>
      </c>
      <c r="J82" s="16" t="s">
        <v>146</v>
      </c>
      <c r="K82" s="16" t="s">
        <v>147</v>
      </c>
    </row>
    <row r="83" customFormat="false" ht="30" hidden="false" customHeight="true" outlineLevel="0" collapsed="false">
      <c r="B83" s="2" t="s">
        <v>148</v>
      </c>
      <c r="C83" s="2"/>
      <c r="D83" s="2"/>
      <c r="E83" s="2"/>
      <c r="F83" s="2"/>
      <c r="G83" s="21" t="n">
        <f aca="false">SUM(G80:G82)</f>
        <v>15</v>
      </c>
      <c r="H83" s="16" t="s">
        <v>139</v>
      </c>
      <c r="I83" s="16" t="s">
        <v>128</v>
      </c>
    </row>
    <row r="84" customFormat="false" ht="30" hidden="false" customHeight="true" outlineLevel="0" collapsed="false">
      <c r="B84" s="2" t="s">
        <v>149</v>
      </c>
      <c r="C84" s="2"/>
      <c r="D84" s="2"/>
      <c r="E84" s="2"/>
      <c r="F84" s="2"/>
      <c r="G84" s="20" t="n">
        <v>125</v>
      </c>
      <c r="H84" s="16" t="s">
        <v>135</v>
      </c>
      <c r="I84" s="16" t="s">
        <v>31</v>
      </c>
      <c r="J84" s="16" t="s">
        <v>150</v>
      </c>
      <c r="K84" s="16" t="s">
        <v>78</v>
      </c>
    </row>
    <row r="85" customFormat="false" ht="30" hidden="false" customHeight="true" outlineLevel="0" collapsed="false">
      <c r="B85" s="2" t="s">
        <v>151</v>
      </c>
      <c r="C85" s="2"/>
      <c r="D85" s="2"/>
      <c r="E85" s="2"/>
      <c r="F85" s="2"/>
      <c r="G85" s="18" t="n">
        <f aca="false">(G84-G79)/G83</f>
        <v>5.66666666666667</v>
      </c>
      <c r="H85" s="16" t="s">
        <v>71</v>
      </c>
      <c r="I85" s="16" t="s">
        <v>128</v>
      </c>
    </row>
    <row r="86" customFormat="false" ht="30" hidden="false" customHeight="true" outlineLevel="0" collapsed="false">
      <c r="B86" s="2" t="s">
        <v>152</v>
      </c>
      <c r="C86" s="2"/>
      <c r="D86" s="2"/>
      <c r="E86" s="2"/>
      <c r="F86" s="2"/>
      <c r="G86" s="18" t="n">
        <f aca="false">(G68-G71)*G32/1000+G68*G49/1000</f>
        <v>2.0430375</v>
      </c>
      <c r="H86" s="16" t="s">
        <v>71</v>
      </c>
      <c r="I86" s="16" t="s">
        <v>128</v>
      </c>
    </row>
    <row r="87" customFormat="false" ht="30" hidden="false" customHeight="true" outlineLevel="0" collapsed="false">
      <c r="B87" s="15" t="s">
        <v>153</v>
      </c>
      <c r="C87" s="15"/>
      <c r="D87" s="15"/>
      <c r="E87" s="15"/>
      <c r="F87" s="15"/>
      <c r="G87" s="22" t="n">
        <f aca="false">G79+G86*G83</f>
        <v>70.6455625</v>
      </c>
      <c r="H87" s="16" t="s">
        <v>135</v>
      </c>
      <c r="I87" s="16" t="s">
        <v>128</v>
      </c>
    </row>
    <row r="88" customFormat="false" ht="30" hidden="false" customHeight="true" outlineLevel="0" collapsed="false">
      <c r="B88" s="2" t="s">
        <v>154</v>
      </c>
      <c r="C88" s="2"/>
      <c r="D88" s="2"/>
      <c r="E88" s="2"/>
      <c r="F88" s="2"/>
      <c r="G88" s="18" t="n">
        <f aca="false">ROUNDDOWN((G85-G68*G49/1000)/(G68-G71)*1000,-1)</f>
        <v>1220</v>
      </c>
      <c r="H88" s="16" t="s">
        <v>18</v>
      </c>
      <c r="I88" s="16" t="s">
        <v>128</v>
      </c>
      <c r="J88" s="16" t="s">
        <v>155</v>
      </c>
    </row>
    <row r="89" customFormat="false" ht="30" hidden="false" customHeight="true" outlineLevel="0" collapsed="false">
      <c r="B89" s="15" t="s">
        <v>156</v>
      </c>
      <c r="C89" s="15"/>
      <c r="D89" s="15"/>
      <c r="E89" s="15"/>
      <c r="F89" s="15"/>
      <c r="G89" s="22" t="n">
        <f aca="false">G84-G87</f>
        <v>54.3544375</v>
      </c>
      <c r="H89" s="16" t="s">
        <v>135</v>
      </c>
      <c r="I89" s="16" t="s">
        <v>128</v>
      </c>
    </row>
    <row r="90" customFormat="false" ht="30" hidden="false" customHeight="true" outlineLevel="0" collapsed="false">
      <c r="B90" s="2" t="s">
        <v>157</v>
      </c>
      <c r="C90" s="2"/>
      <c r="D90" s="2"/>
      <c r="E90" s="2"/>
      <c r="F90" s="2"/>
      <c r="G90" s="21" t="n">
        <f aca="false">G86*G82</f>
        <v>20.430375</v>
      </c>
      <c r="H90" s="16" t="s">
        <v>135</v>
      </c>
      <c r="I90" s="16" t="s">
        <v>128</v>
      </c>
      <c r="J90" s="16" t="s">
        <v>158</v>
      </c>
    </row>
    <row r="92" customFormat="false" ht="30" hidden="false" customHeight="true" outlineLevel="0" collapsed="false">
      <c r="B92" s="13" t="s">
        <v>159</v>
      </c>
      <c r="C92" s="13"/>
      <c r="D92" s="13"/>
      <c r="E92" s="13"/>
      <c r="F92" s="13"/>
      <c r="G92" s="13"/>
      <c r="H92" s="13"/>
      <c r="I92" s="13"/>
      <c r="J92" s="13"/>
      <c r="K92" s="13"/>
    </row>
    <row r="98" customFormat="false" ht="21.75" hidden="false" customHeight="true" outlineLevel="0" collapsed="false">
      <c r="B98" s="3" t="s">
        <v>160</v>
      </c>
      <c r="C98" s="3"/>
      <c r="D98" s="3"/>
      <c r="E98" s="3"/>
      <c r="F98" s="3"/>
      <c r="G98" s="3"/>
      <c r="H98" s="3"/>
      <c r="I98" s="3"/>
      <c r="J98" s="3"/>
      <c r="K98" s="3"/>
    </row>
    <row r="99" customFormat="false" ht="30" hidden="false" customHeight="true" outlineLevel="0" collapsed="false">
      <c r="B99" s="4" t="s">
        <v>161</v>
      </c>
      <c r="C99" s="4"/>
      <c r="D99" s="4"/>
      <c r="E99" s="4"/>
      <c r="F99" s="4"/>
      <c r="G99" s="4" t="s">
        <v>162</v>
      </c>
      <c r="H99" s="4" t="s">
        <v>11</v>
      </c>
      <c r="I99" s="4" t="s">
        <v>12</v>
      </c>
      <c r="J99" s="4" t="s">
        <v>13</v>
      </c>
      <c r="K99" s="4" t="s">
        <v>14</v>
      </c>
    </row>
    <row r="100" customFormat="false" ht="42" hidden="false" customHeight="true" outlineLevel="0" collapsed="false">
      <c r="B100" s="2" t="s">
        <v>163</v>
      </c>
      <c r="C100" s="2"/>
      <c r="D100" s="2"/>
      <c r="E100" s="2"/>
      <c r="F100" s="2"/>
      <c r="G100" s="23" t="n">
        <v>800</v>
      </c>
      <c r="H100" s="16" t="s">
        <v>164</v>
      </c>
      <c r="I100" s="16" t="s">
        <v>165</v>
      </c>
      <c r="J100" s="16" t="s">
        <v>166</v>
      </c>
      <c r="K100" s="16" t="s">
        <v>21</v>
      </c>
    </row>
    <row r="101" customFormat="false" ht="42" hidden="false" customHeight="true" outlineLevel="0" collapsed="false">
      <c r="B101" s="2" t="s">
        <v>167</v>
      </c>
      <c r="C101" s="2"/>
      <c r="D101" s="2"/>
      <c r="E101" s="2"/>
      <c r="F101" s="2"/>
      <c r="G101" s="23" t="n">
        <v>5.5</v>
      </c>
      <c r="H101" s="16" t="s">
        <v>18</v>
      </c>
      <c r="I101" s="16" t="s">
        <v>168</v>
      </c>
      <c r="J101" s="16" t="s">
        <v>169</v>
      </c>
      <c r="K101" s="16" t="s">
        <v>170</v>
      </c>
    </row>
    <row r="102" customFormat="false" ht="42" hidden="false" customHeight="true" outlineLevel="0" collapsed="false">
      <c r="B102" s="2" t="s">
        <v>171</v>
      </c>
      <c r="C102" s="2"/>
      <c r="D102" s="2"/>
      <c r="E102" s="2"/>
      <c r="F102" s="2"/>
      <c r="G102" s="19" t="n">
        <v>0.17</v>
      </c>
      <c r="H102" s="16" t="s">
        <v>18</v>
      </c>
      <c r="I102" s="16" t="s">
        <v>31</v>
      </c>
      <c r="J102" s="16" t="s">
        <v>172</v>
      </c>
      <c r="K102" s="16" t="s">
        <v>27</v>
      </c>
    </row>
    <row r="103" customFormat="false" ht="42" hidden="false" customHeight="true" outlineLevel="0" collapsed="false">
      <c r="B103" s="2" t="s">
        <v>173</v>
      </c>
      <c r="C103" s="2"/>
      <c r="D103" s="2"/>
      <c r="E103" s="2"/>
      <c r="F103" s="2"/>
      <c r="G103" s="23" t="n">
        <v>2</v>
      </c>
      <c r="H103" s="16" t="s">
        <v>174</v>
      </c>
      <c r="I103" s="16" t="s">
        <v>175</v>
      </c>
      <c r="J103" s="16" t="s">
        <v>176</v>
      </c>
      <c r="K103" s="16"/>
    </row>
    <row r="104" customFormat="false" ht="42" hidden="false" customHeight="true" outlineLevel="0" collapsed="false">
      <c r="B104" s="2" t="s">
        <v>177</v>
      </c>
      <c r="C104" s="2"/>
      <c r="D104" s="2"/>
      <c r="E104" s="2"/>
      <c r="F104" s="2"/>
      <c r="G104" s="23" t="n">
        <v>10000</v>
      </c>
      <c r="H104" s="16" t="s">
        <v>178</v>
      </c>
      <c r="I104" s="16" t="s">
        <v>179</v>
      </c>
      <c r="J104" s="16" t="s">
        <v>180</v>
      </c>
      <c r="K104" s="16"/>
    </row>
    <row r="105" customFormat="false" ht="42" hidden="false" customHeight="true" outlineLevel="0" collapsed="false">
      <c r="B105" s="2" t="s">
        <v>181</v>
      </c>
      <c r="C105" s="2"/>
      <c r="D105" s="2"/>
      <c r="E105" s="2"/>
      <c r="F105" s="2"/>
      <c r="G105" s="19" t="n">
        <v>0.01</v>
      </c>
      <c r="H105" s="16"/>
      <c r="I105" s="16" t="s">
        <v>179</v>
      </c>
      <c r="J105" s="16" t="s">
        <v>182</v>
      </c>
      <c r="K105" s="16"/>
    </row>
    <row r="106" customFormat="false" ht="42" hidden="false" customHeight="true" outlineLevel="0" collapsed="false">
      <c r="B106" s="2" t="s">
        <v>183</v>
      </c>
      <c r="C106" s="2"/>
      <c r="D106" s="2"/>
      <c r="E106" s="2"/>
      <c r="F106" s="2"/>
      <c r="G106" s="23" t="n">
        <v>10000</v>
      </c>
      <c r="H106" s="16" t="s">
        <v>178</v>
      </c>
      <c r="I106" s="16" t="s">
        <v>179</v>
      </c>
      <c r="J106" s="16" t="s">
        <v>184</v>
      </c>
      <c r="K106" s="16"/>
    </row>
    <row r="107" customFormat="false" ht="42" hidden="false" customHeight="true" outlineLevel="0" collapsed="false">
      <c r="B107" s="2" t="s">
        <v>185</v>
      </c>
      <c r="C107" s="2"/>
      <c r="D107" s="2"/>
      <c r="E107" s="2"/>
      <c r="F107" s="2"/>
      <c r="G107" s="19" t="n">
        <v>0.2</v>
      </c>
      <c r="H107" s="16"/>
      <c r="I107" s="16" t="s">
        <v>136</v>
      </c>
      <c r="J107" s="16" t="s">
        <v>186</v>
      </c>
      <c r="K107" s="16"/>
    </row>
    <row r="108" customFormat="false" ht="42" hidden="false" customHeight="true" outlineLevel="0" collapsed="false">
      <c r="B108" s="2" t="s">
        <v>187</v>
      </c>
      <c r="C108" s="2"/>
      <c r="D108" s="2"/>
      <c r="E108" s="2"/>
      <c r="F108" s="2"/>
      <c r="G108" s="23" t="n">
        <v>2200</v>
      </c>
      <c r="H108" s="16" t="s">
        <v>178</v>
      </c>
      <c r="I108" s="16" t="s">
        <v>179</v>
      </c>
      <c r="J108" s="16" t="s">
        <v>188</v>
      </c>
      <c r="K108" s="16"/>
    </row>
    <row r="109" customFormat="false" ht="42" hidden="false" customHeight="true" outlineLevel="0" collapsed="false">
      <c r="B109" s="2" t="s">
        <v>189</v>
      </c>
      <c r="C109" s="2"/>
      <c r="D109" s="2"/>
      <c r="E109" s="2"/>
      <c r="F109" s="2"/>
      <c r="G109" s="23" t="n">
        <v>3</v>
      </c>
      <c r="H109" s="16" t="s">
        <v>174</v>
      </c>
      <c r="I109" s="16" t="s">
        <v>175</v>
      </c>
      <c r="J109" s="16" t="s">
        <v>190</v>
      </c>
      <c r="K109" s="16"/>
    </row>
    <row r="110" customFormat="false" ht="42" hidden="false" customHeight="true" outlineLevel="0" collapsed="false">
      <c r="B110" s="2" t="s">
        <v>191</v>
      </c>
      <c r="C110" s="2"/>
      <c r="D110" s="2"/>
      <c r="E110" s="2"/>
      <c r="F110" s="2"/>
      <c r="G110" s="23" t="n">
        <v>4</v>
      </c>
      <c r="H110" s="16" t="s">
        <v>174</v>
      </c>
      <c r="I110" s="16" t="s">
        <v>175</v>
      </c>
      <c r="J110" s="16" t="s">
        <v>192</v>
      </c>
      <c r="K110" s="16"/>
    </row>
    <row r="111" customFormat="false" ht="42" hidden="false" customHeight="true" outlineLevel="0" collapsed="false">
      <c r="B111" s="2" t="s">
        <v>193</v>
      </c>
      <c r="C111" s="2"/>
      <c r="D111" s="2"/>
      <c r="E111" s="2"/>
      <c r="F111" s="2"/>
      <c r="G111" s="23" t="n">
        <v>4700</v>
      </c>
      <c r="H111" s="16" t="s">
        <v>178</v>
      </c>
      <c r="I111" s="16" t="s">
        <v>179</v>
      </c>
      <c r="J111" s="16" t="s">
        <v>194</v>
      </c>
      <c r="K111" s="16"/>
    </row>
    <row r="112" customFormat="false" ht="42" hidden="false" customHeight="true" outlineLevel="0" collapsed="false">
      <c r="B112" s="2" t="s">
        <v>195</v>
      </c>
      <c r="C112" s="2"/>
      <c r="D112" s="2"/>
      <c r="E112" s="2"/>
      <c r="F112" s="2"/>
      <c r="G112" s="23" t="n">
        <v>2</v>
      </c>
      <c r="H112" s="16" t="s">
        <v>174</v>
      </c>
      <c r="I112" s="16" t="s">
        <v>175</v>
      </c>
      <c r="J112" s="16" t="s">
        <v>196</v>
      </c>
      <c r="K112" s="16"/>
    </row>
    <row r="113" customFormat="false" ht="42" hidden="false" customHeight="true" outlineLevel="0" collapsed="false">
      <c r="B113" s="2" t="s">
        <v>197</v>
      </c>
      <c r="C113" s="2"/>
      <c r="D113" s="2"/>
      <c r="E113" s="2"/>
      <c r="F113" s="2"/>
      <c r="G113" s="23" t="n">
        <v>100000</v>
      </c>
      <c r="H113" s="16" t="s">
        <v>178</v>
      </c>
      <c r="I113" s="16" t="s">
        <v>179</v>
      </c>
      <c r="J113" s="16" t="s">
        <v>198</v>
      </c>
      <c r="K113" s="16"/>
    </row>
    <row r="114" customFormat="false" ht="42" hidden="false" customHeight="true" outlineLevel="0" collapsed="false">
      <c r="B114" s="2" t="s">
        <v>199</v>
      </c>
      <c r="C114" s="2"/>
      <c r="D114" s="2"/>
      <c r="E114" s="2"/>
      <c r="F114" s="2"/>
      <c r="G114" s="19" t="n">
        <v>0.152</v>
      </c>
      <c r="H114" s="16" t="s">
        <v>178</v>
      </c>
      <c r="I114" s="16" t="s">
        <v>200</v>
      </c>
      <c r="J114" s="16" t="s">
        <v>201</v>
      </c>
      <c r="K114" s="16" t="s">
        <v>202</v>
      </c>
    </row>
  </sheetData>
  <mergeCells count="73">
    <mergeCell ref="B2:K2"/>
    <mergeCell ref="B3:K3"/>
    <mergeCell ref="B4:K4"/>
    <mergeCell ref="B5:K5"/>
    <mergeCell ref="B7:K7"/>
    <mergeCell ref="B14:F14"/>
    <mergeCell ref="B15:K15"/>
    <mergeCell ref="B17:K17"/>
    <mergeCell ref="B30:F30"/>
    <mergeCell ref="B31:F31"/>
    <mergeCell ref="B32:F32"/>
    <mergeCell ref="B33:F33"/>
    <mergeCell ref="B35:K35"/>
    <mergeCell ref="B38:F38"/>
    <mergeCell ref="B39:F39"/>
    <mergeCell ref="B40:F40"/>
    <mergeCell ref="B41:F41"/>
    <mergeCell ref="B43:K43"/>
    <mergeCell ref="B46:F46"/>
    <mergeCell ref="B47:F47"/>
    <mergeCell ref="B48:F48"/>
    <mergeCell ref="B49:F49"/>
    <mergeCell ref="B50:F50"/>
    <mergeCell ref="B51:F51"/>
    <mergeCell ref="B52:F52"/>
    <mergeCell ref="B54:K54"/>
    <mergeCell ref="B55:F55"/>
    <mergeCell ref="B56:F56"/>
    <mergeCell ref="B57:F57"/>
    <mergeCell ref="B64:K64"/>
    <mergeCell ref="B65:K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K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2:K92"/>
    <mergeCell ref="B98:K98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2026-10-16T21:43:14Z</dcterms:created>
  <dc:creator>openpyxl</dc:creator>
  <dc:description/>
  <dc:language>en-US</dc:language>
  <cp:lastModifiedBy/>
  <dcterms:modified xsi:type="dcterms:W3CDTF">2026-10-16T21:43:14Z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